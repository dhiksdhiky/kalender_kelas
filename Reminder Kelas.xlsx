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minder" sheetId="1" r:id="rId4"/>
    <sheet state="visible" name="Anggota" sheetId="2" r:id="rId5"/>
    <sheet state="visible" name="Log" sheetId="3" r:id="rId6"/>
    <sheet state="visible" name="data d3" sheetId="4" r:id="rId7"/>
    <sheet state="visible" name="Arsip" sheetId="5" r:id="rId8"/>
  </sheets>
  <definedNames/>
  <calcPr/>
</workbook>
</file>

<file path=xl/sharedStrings.xml><?xml version="1.0" encoding="utf-8"?>
<sst xmlns="http://schemas.openxmlformats.org/spreadsheetml/2006/main" count="3592" uniqueCount="1053">
  <si>
    <t>Jenis Agenda</t>
  </si>
  <si>
    <t>Nama Agenda</t>
  </si>
  <si>
    <t>Tanggal Load</t>
  </si>
  <si>
    <t>DeadLine</t>
  </si>
  <si>
    <t>PIC</t>
  </si>
  <si>
    <t>Keterangan</t>
  </si>
  <si>
    <t>RowID</t>
  </si>
  <si>
    <t>status</t>
  </si>
  <si>
    <t>sisa hari</t>
  </si>
  <si>
    <t>Link File Lampiran</t>
  </si>
  <si>
    <t>Tugas</t>
  </si>
  <si>
    <t>Presentasi AKM</t>
  </si>
  <si>
    <t>MELLANIA PUTRI RATNAWATI</t>
  </si>
  <si>
    <t xml:space="preserve">🚨🚨REMINDER AKM II🚨🚨
⿡ Tugas Individu
1.⁠ ⁠Penyelesaian soal
2.⁠ ⁠⁠Membuat Kerangka Materi/infografis di buku/binder B5 dapat melanjutkan dr buku AKM I
(bisa mulai dicicil)
⿢ Tugas Presentasi
Presensi 13 s.d. 15
P16.1, P16.8, BE16.16 jurnal s.d. pembayaran
📌 Format file Word atau Excel dan PPT
📌 nama file: No. Presensi_Nama Mahasiswa_No Soal_Jenis Materi
🗓 TODAAYY
📍 LMS dan gdrive https://drive.google.com/drive/folders/16zmz1em_nsWKaNK9Zm-A8HwwGovP58gx </t>
  </si>
  <si>
    <t>43aec732-f896-4112-b0bc-acd8b5d7b6e3</t>
  </si>
  <si>
    <t>Kuis</t>
  </si>
  <si>
    <t>Kuis Pajak Internasional</t>
  </si>
  <si>
    <t>QURROTU A'YUMINA</t>
  </si>
  <si>
    <t>Kuis PI pertemuan 1 - pertemuan 3</t>
  </si>
  <si>
    <t>8b929640-a5a5-4ab4-908e-072520893fc3</t>
  </si>
  <si>
    <t>Lewat/Selesai</t>
  </si>
  <si>
    <t>Pengingat</t>
  </si>
  <si>
    <t>Ulang tahun AHMAD NUR WAKHID</t>
  </si>
  <si>
    <t>Sistem</t>
  </si>
  <si>
    <t>Selamat ulang tahun untuk AHMAD NUR WAKHID!</t>
  </si>
  <si>
    <t>ULTAH_AHMADNURWAKHID_2025</t>
  </si>
  <si>
    <t>Ulang tahun ANISA FATMANINGTYAS</t>
  </si>
  <si>
    <t>Selamat ulang tahun untuk ANISA FATMANINGTYAS!</t>
  </si>
  <si>
    <t>ULTAH_ANISAFATMANINGTYAS_2025</t>
  </si>
  <si>
    <t>Ulang tahun ANNISA FADILLAH HERNAWAN</t>
  </si>
  <si>
    <t>Selamat ulang tahun untuk ANNISA FADILLAH HERNAWAN!</t>
  </si>
  <si>
    <t>ULTAH_ANNISAFADILLAHHERNAWAN_2025</t>
  </si>
  <si>
    <t>Ulang tahun ARRAZ MEIDYAN</t>
  </si>
  <si>
    <t>Selamat ulang tahun untuk ARRAZ MEIDYAN!</t>
  </si>
  <si>
    <t>ULTAH_ARRAZMEIDYAN_2025</t>
  </si>
  <si>
    <t>Ulang tahun AYU MITHA VALLENTYA</t>
  </si>
  <si>
    <t>Selamat ulang tahun untuk AYU MITHA VALLENTYA!</t>
  </si>
  <si>
    <t>ULTAH_AYUMITHAVALLENTYA_2025</t>
  </si>
  <si>
    <t>Outstanding</t>
  </si>
  <si>
    <t>Ulang tahun DEA LESTI BRIANA</t>
  </si>
  <si>
    <t>Selamat ulang tahun untuk DEA LESTI BRIANA!</t>
  </si>
  <si>
    <t>ULTAH_DEALESTIBRIANA_2025</t>
  </si>
  <si>
    <t/>
  </si>
  <si>
    <t>Ulang tahun EVI SETYANINGSIH</t>
  </si>
  <si>
    <t>Selamat ulang tahun untuk EVI SETYANINGSIH!</t>
  </si>
  <si>
    <t>ULTAH_EVISETYANINGSIH_2025</t>
  </si>
  <si>
    <t>Ulang tahun FELITA DELVIANA YOGYANTORO</t>
  </si>
  <si>
    <t>Selamat ulang tahun untuk FELITA DELVIANA YOGYANTORO!</t>
  </si>
  <si>
    <t>ULTAH_FELITADELVIANAYOGYANTORO_2025</t>
  </si>
  <si>
    <t>Ulang tahun GIDEON HAMONANGAN SIMANJUNTAK</t>
  </si>
  <si>
    <t>Selamat ulang tahun untuk GIDEON HAMONANGAN SIMANJUNTAK!</t>
  </si>
  <si>
    <t>ULTAH_GIDEONHAMONANGANSIMANJUNTAK_2025</t>
  </si>
  <si>
    <t>Ulang tahun INDAH BASUKI SETIA INDRA</t>
  </si>
  <si>
    <t>Selamat ulang tahun untuk INDAH BASUKI SETIA INDRA!</t>
  </si>
  <si>
    <t>ULTAH_INDAHBASUKISETIAINDRA_2025</t>
  </si>
  <si>
    <t>Ulang tahun MARTIN FELIX SIREGAR</t>
  </si>
  <si>
    <t>Selamat ulang tahun untuk MARTIN FELIX SIREGAR!</t>
  </si>
  <si>
    <t>ULTAH_MARTINFELIXSIREGAR_2025</t>
  </si>
  <si>
    <t>Ulang tahun MELLANIA PUTRI RATNAWATI</t>
  </si>
  <si>
    <t>Selamat ulang tahun untuk MELLANIA PUTRI RATNAWATI!</t>
  </si>
  <si>
    <t>ULTAH_MELLANIAPUTRIRATNAWATI_2025</t>
  </si>
  <si>
    <t>Ulang tahun MUHAMMAD HUSNI TAMRIN</t>
  </si>
  <si>
    <t>Selamat ulang tahun untuk MUHAMMAD HUSNI TAMRIN!</t>
  </si>
  <si>
    <t>ULTAH_MUHAMMADHUSNITAMRIN_2025</t>
  </si>
  <si>
    <t>Ulang tahun MUKHLIS AHMAD ARIFIN</t>
  </si>
  <si>
    <t>Selamat ulang tahun untuk MUKHLIS AHMAD ARIFIN!</t>
  </si>
  <si>
    <t>ULTAH_MUKHLISAHMADARIFIN_2025</t>
  </si>
  <si>
    <t>Ulang tahun NIDIA MUSTIKA SAPUTRA</t>
  </si>
  <si>
    <t>Selamat ulang tahun untuk NIDIA MUSTIKA SAPUTRA!</t>
  </si>
  <si>
    <t>ULTAH_NIDIAMUSTIKASAPUTRA_2025</t>
  </si>
  <si>
    <t>Ulang tahun QURROTU A'YUMINA</t>
  </si>
  <si>
    <t>Selamat ulang tahun untuk QURROTU A'YUMINA!</t>
  </si>
  <si>
    <t>ULTAH_QURROTUA'YUMINA_2025</t>
  </si>
  <si>
    <t>Ulang tahun RAHMAT RAMADHAN</t>
  </si>
  <si>
    <t>Selamat ulang tahun untuk RAHMAT RAMADHAN!</t>
  </si>
  <si>
    <t>ULTAH_RAHMATRAMADHAN_2025</t>
  </si>
  <si>
    <t>Ulang tahun ROBERTUS KLEMENS NOVIARTHA</t>
  </si>
  <si>
    <t>Selamat ulang tahun untuk ROBERTUS KLEMENS NOVIARTHA!</t>
  </si>
  <si>
    <t>ULTAH_ROBERTUSKLEMENSNOVIARTHA_2025</t>
  </si>
  <si>
    <t>Ulang tahun RUTH NOVITA MARTINA</t>
  </si>
  <si>
    <t>Selamat ulang tahun untuk RUTH NOVITA MARTINA!</t>
  </si>
  <si>
    <t>ULTAH_RUTHNOVITAMARTINA_2025</t>
  </si>
  <si>
    <t>Ulang tahun SHAFA INANTRI AWENANG KHARISA</t>
  </si>
  <si>
    <t>Selamat ulang tahun untuk SHAFA INANTRI AWENANG KHARISA!</t>
  </si>
  <si>
    <t>ULTAH_SHAFAINANTRIAWENANGKHARISA_2025</t>
  </si>
  <si>
    <t>Ulang tahun TIARA MORREN TAMPUBOLON</t>
  </si>
  <si>
    <t>Selamat ulang tahun untuk TIARA MORREN TAMPUBOLON!</t>
  </si>
  <si>
    <t>ULTAH_TIARAMORRENTAMPUBOLON_2025</t>
  </si>
  <si>
    <t>Ulang tahun UMUL MUTHΜΑΙΝΑΗ</t>
  </si>
  <si>
    <t>Selamat ulang tahun untuk UMUL MUTHΜΑΙΝΑΗ!</t>
  </si>
  <si>
    <t>ULTAH_UMULMUTHΜΑΙΝΑΗ_2025</t>
  </si>
  <si>
    <t>Ulang tahun WAHYU NURSYAM PUTRA PRATAMA</t>
  </si>
  <si>
    <t>Selamat ulang tahun untuk WAHYU NURSYAM PUTRA PRATAMA!</t>
  </si>
  <si>
    <t>ULTAH_WAHYUNURSYAMPUTRAPRATAMA_2025</t>
  </si>
  <si>
    <t>Ulang tahun YOHANA ESTERINDAH SIMANJUNTAK</t>
  </si>
  <si>
    <t>Selamat ulang tahun untuk YOHANA ESTERINDAH SIMANJUNTAK!</t>
  </si>
  <si>
    <t>ULTAH_YOHANAESTERINDAHSIMANJUNTAK_2025</t>
  </si>
  <si>
    <t>Ulang tahun ZAHARA AFRA AL HAMBRA</t>
  </si>
  <si>
    <t>Selamat ulang tahun untuk ZAHARA AFRA AL HAMBRA!</t>
  </si>
  <si>
    <t>ULTAH_ZAHARAAFRAALHAMBRA_2025</t>
  </si>
  <si>
    <t>Ulang tahun ZETA TALADZUL AYUN</t>
  </si>
  <si>
    <t>Selamat ulang tahun untuk ZETA TALADZUL AYUN!</t>
  </si>
  <si>
    <t>ULTAH_ZETATALADZULAYUN_2025</t>
  </si>
  <si>
    <t>Tugas AKM</t>
  </si>
  <si>
    <t>ZETA TALADZUL AYUN</t>
  </si>
  <si>
    <t>✨Tugas AKM II✨
1️⃣ Tugas Individu
1.⁠ ⁠Penyelesaian soal (ditulis tangan)
2.⁠ ⁠⁠Membuat Kerangka materi / infografis (ringkas dan komprehensif, dalam bentuk gambar dan kata kunci) (tulis tangan, cukup 1 halaman, boleh lebih) di buku B5 dapat melanjutkan dr buku AKM I
2️⃣ Tugas Presentasi
Presensi 21 s.d. 25
E18.10 + 11, E18.21, E18.23 + 24 + 25, E18.28 + 31 + jurnal + 32, P18.10 + jurnal
📌 Urutan pengerjaan 
•⁠  ⁠Pokok Materi
•⁠  ⁠⁠Referensi, halaman, dan penjelasan (infografis, ringkas dan komprehensif, dalam bentuk bagan, tabel, dan kata kunci)
•⁠  ⁠⁠Soal, data singkat, subpertanyaan, jawaban (disertai data yang diperlukan, penjelasan langkah-langkah pengerjaan soal, hitungan)
•⁠  ⁠⁠Setiap subpertanyaan langsung disandingkan dengan jawaban
•⁠  ⁠⁠Jumlah slide sesedikit mungkin
📌 Format file Word atau Excel dan PPT
📌 nama file: No. Presensi_Nama Mahasiswa_No Soal_Jenis Materi
🗓️ Selasa, 20 Mei 2025
📍 LMS dan gdrive https://drive.google.com/drive/folders/16zmz1em_nsWKaNK9Zm-A8HwwGovP58gx
🤺🤺🤺🤺</t>
  </si>
  <si>
    <t>82ed4bbf-9cf0-435e-97b6-e4ef7c8073bb</t>
  </si>
  <si>
    <t>https://drive.google.com/file/d/1dPfDRHhusjnEJ2wIW2Be1vYReXbRPzO-/view?usp=drivesdk</t>
  </si>
  <si>
    <t xml:space="preserve">AKSK Kelompok </t>
  </si>
  <si>
    <t>ANISA FATMANINGTYAS</t>
  </si>
  <si>
    <t>📌 Kelompok
- Melengkapi tugas kelompok minggu lalu (tambahkan tabelnya)
- Tugas Tambahan 1 (terlampir)
- Kelompok 7 : presentasi materi Bab 7 Buku Arens ed.17
- Kelompok 1 : presentasi materi dari Buku Praktikum 1: Bagian I &amp; II
⚠️ Pengumpulan: https://bit.ly/44_AKSK
📅 Deadline: Sabtu, 17 Mei 2025 sebelum pukul 18.00 WIB</t>
  </si>
  <si>
    <t>66b8ae13-671a-484c-81a8-b3222902c9f7</t>
  </si>
  <si>
    <t>https://drive.google.com/file/d/1dRcZRH4s4vKNFw1rPrNQueII5REZoFpk/view?usp=drivesdk</t>
  </si>
  <si>
    <t>AKSK Individu</t>
  </si>
  <si>
    <t>DEA LESTI BRIANA</t>
  </si>
  <si>
    <t>📌 Individu 
1️⃣ Tugas Individu ke-5
- Resume materi Bab 7 Buku Arens ed.17
- Resume materi dari Buku Praktikum 1: Bagian I &amp; II
Ketentuan resume :
- Setiap resume maksimal 2 halaman folio
- Ditulis tangan di kertas ukuran folio (buku/kertas)
⚠️ Pengumpulan: https://bit.ly/44_AKSK
📅 Deadline: Sabtu, 17 Mei 2025 sebelum pukul 18.00 WIB</t>
  </si>
  <si>
    <t>f6460e41-2ca1-47ed-a2c3-2e01582d0d74</t>
  </si>
  <si>
    <t>KUIS AKSK</t>
  </si>
  <si>
    <t>2️⃣ Quiz: Senin, 19 Mei 2025
Materi Quiz:
- Tahapan Proses Audit (fase audit)
- Bab 7 Buku Arens ed.17
Closebook</t>
  </si>
  <si>
    <t>d5541dc9-6144-45b9-bc29-f562463dd9bb</t>
  </si>
  <si>
    <t>Komunikasi Individu</t>
  </si>
  <si>
    <t>EKA ADHIKARA RAHIM</t>
  </si>
  <si>
    <t>Latihan studi kasus individu: menyusun kata-kata efektif sesuai ppt komunikasi pertemuan 4 (terlampir)
boleh ketik, disubmit di LMS (menunggu)
deadline Rabu, 21 Mei 2025</t>
  </si>
  <si>
    <t>502d34c1-7a95-4afc-b9a0-baa6a6eb7b4f</t>
  </si>
  <si>
    <t>https://drive.google.com/file/d/1TnWRVE3iOfZz0cinxHsBuNvCwhwxexLa/view?usp=drivesdk</t>
  </si>
  <si>
    <t>Komunikasi Kelompok</t>
  </si>
  <si>
    <t>tugas diskusi sesuai instruksi di ppt komunikasi pertemuan 4 sesuai pembagian kelompok (terlampir)
diketik disubmit di LMS (menunggu)
Deadline Rabu, 21 Mei 2025</t>
  </si>
  <si>
    <t>601a8cde-0587-488f-b73f-d993fc3bc1d3</t>
  </si>
  <si>
    <t>https://drive.google.com/file/d/1ZysxMHLD3LAwYVLFOyVSxfOUyWLqcK-1/view?usp=drivesdk</t>
  </si>
  <si>
    <t>Quiz ADP</t>
  </si>
  <si>
    <t>Quiz ADP, 19 Mei 2025 (14.05 s.d. 14.22)</t>
  </si>
  <si>
    <t>7b00ec61-d984-4c2e-9fec-e5b0e29d00c3</t>
  </si>
  <si>
    <t>Olahraga Bareng</t>
  </si>
  <si>
    <t>Kamu tahu ngga kenapa diadakan olahraga bareng? Agar kita dapat berkeringat bareng.</t>
  </si>
  <si>
    <t>81058270-9714-4d29-83e0-bab6b0794d92</t>
  </si>
  <si>
    <t>https://drive.google.com/file/d/1PsqIcu7k6RzFScuSL7QPA3UaDO2jFVPw/view?usp=drivesdk</t>
  </si>
  <si>
    <t>Apel Pagi</t>
  </si>
  <si>
    <t>Apel Pagi aja aku datengin, masa kamu ngga aku apelin.</t>
  </si>
  <si>
    <t>5caf5f7b-4c21-4cb0-b852-992fde33cb85</t>
  </si>
  <si>
    <t>02405abc-577f-4142-acb7-4a9aef24e815</t>
  </si>
  <si>
    <t>https://drive.google.com/file/d/17A0-Vdet25_eLdRL6kaQCYhSjh-hmtmv/view?usp=drivesdk</t>
  </si>
  <si>
    <t>Upacara Bendera</t>
  </si>
  <si>
    <t>Jangan hanya mantan aja yang kita kenang, tapi para pahlawan juga wajib kita kenang. Ayo kita Upacara.</t>
  </si>
  <si>
    <t>3a03542f-a604-4684-923c-1c2a6d4759c0</t>
  </si>
  <si>
    <t>04e6ce0a-adb7-4ea0-84b6-570c106924dd</t>
  </si>
  <si>
    <t>Bonding Angkatan</t>
  </si>
  <si>
    <t>Datang aja dulu, mana tau jodohnya ketemu disana.</t>
  </si>
  <si>
    <t>e705c0e1-ea7d-4ab1-ba05-d33483b8a262</t>
  </si>
  <si>
    <t>93059e6f-c86a-4959-aa72-a0a148789530</t>
  </si>
  <si>
    <t>https://drive.google.com/file/d/1YmjYjLPgeYPaWn4G3PK8IKyOujSqpPPy/view?usp=drivesdk</t>
  </si>
  <si>
    <t>fff80feb-a5f7-4f62-a28f-45ac1d157da6</t>
  </si>
  <si>
    <t>AKSK Kelompok</t>
  </si>
  <si>
    <t>Presentasi Kelompok
- Kelompok 1: Praktikum Bagian 1&amp;2
- Kelompok 2: Bab 8 ed.17
- Kelompok 3: Bab 9 ed.17
file presentasi dikumpulkan di https://bit.ly/44_AKSK
Paling lambat Sabtu, 24 Mei sebelum pukul 18.00 WIB</t>
  </si>
  <si>
    <t>65c73fb5-f3f6-48f5-8eb4-60055758cc9a</t>
  </si>
  <si>
    <t>Presentasi Mankeu</t>
  </si>
  <si>
    <t>YOHANA ESTERINDAH SIMANJUNTAK</t>
  </si>
  <si>
    <t>❗MANKEU❗pertemuan 5 : Bab 9 penentuan nilai obligasi
testi dari senior :
1. kalo bisa jelasin minimal spt video bapaknya di https://youtu.be/kvuYk6O5PxY?si=FOk3ohHAhcIhGpSo
2. ⁠paham dan menguasai materi sampe ke inti2nya
3. ⁠awal ngomong jgn hah hoh hah hoh, harus terlihat paham. karena kalo tau awal2 udah kebingungan pasti ga belajar 
4. ⁠usahain pas menjelaskan materi minimal 10 menit
5. ⁠boleh buka PPT, notes, hp ke depan
6. ⁠usahain belajar PPT bapaknya dulu baru zoom untuk diskusi bareng2 sama kelompoknya masing2</t>
  </si>
  <si>
    <t>e150ffea-905a-49dd-9c3b-616affed9677</t>
  </si>
  <si>
    <t>Pelajari materi PI pertemuan 5 + jawan kasus diskusi PT Madania</t>
  </si>
  <si>
    <t>Pelajari materi PI pertemuan 5 + jawan kasus diskusi PT Madania. File terlampir</t>
  </si>
  <si>
    <t>221becaf-0c08-4c22-b274-04e9be02b29d</t>
  </si>
  <si>
    <t>https://drive.google.com/file/d/1vNxY1ijZPuuUc-ydXIEZqDnqW5QOOgHD/view?usp=drivesdk</t>
  </si>
  <si>
    <t>Pelajari materi PI pertemuan 5 + jawan kasus diskusi PT Madania.</t>
  </si>
  <si>
    <t>a65cd764-5384-45b4-b9ad-ec2c5f68894e</t>
  </si>
  <si>
    <t>https://drive.google.com/file/d/1MmovnOKCNvdIj-YjFXFztkegLR84FnZK/view?usp=drivesdk</t>
  </si>
  <si>
    <t>Isi Data Lokasi Visit (Probis WP)</t>
  </si>
  <si>
    <t>EVI SETYANINGSIH</t>
  </si>
  <si>
    <t>✨Proses Bisnis WP✨
Buat penerbitan Surat Izin Visit Lokasi Usaha, minta tolong diisi yaa di tautan berikut:
https://drive.google.com/drive/u/0/mobile/folders/1X6tGt-ogChS32F_zfjJIHG-Wx-K9ztHX/1zx_VfTXXmG43wBldRAWeZNr9J_kwNqyB/1C6mF-IqewzO7Cy_TP7RXSEDDaNchv6Th/12kA01B3N5HV0je53rCAYHDmmJNgMNOr1?usp=sharing&amp;sort=13&amp;direction=a
Paling lambat: Hari ini jam 23.59, soalnya mau segera diajuin 🙏
Terima kasih</t>
  </si>
  <si>
    <t>18435a85-d116-4f86-9995-92bd04578bdd</t>
  </si>
  <si>
    <t>Tugas AKM II</t>
  </si>
  <si>
    <t>✨Tugas AKM II✨
Tugas Presentasi
Presensi 26 s.d. 4
Akuntansi Syariah (Sesuai Word Tugas Terlampir)
📌 (Referensi OJK download dari LMS) Jelaskan
•⁠  ⁠jenis pembiayaan, penjelasan
•⁠  ⁠skema pembiayaan
•⁠  ⁠contoh kasus
•⁠  ⁠perhitungan 
•⁠  ⁠tabel
•⁠  ⁠jurnal:
Akun dalam bahasa indonesia (ikuti di modul), disampingnya ditulis juga nama akun dalam bahasa inggris.
Untuk pembiayaan murabahah, sertakan pembukuan pelunasan utang murabahah sebelum jatuh tempo (pupmsjt)
📌 Format file Word atau Excel dan PPT
📌 nama file: No. Presensi_Nama Mahasiswa_No Soal_Jenis Materi
🗓️ Selasa, 27 Mei 2025
📍 LMS dan gdrive https://drive.google.com/drive/folders/16zmz1em_nsWKaNK9Zm-A8HwwGovP58gx
🤺🤺🤺🤺</t>
  </si>
  <si>
    <t>cd629b31-10f5-4302-8608-6368462aa49f</t>
  </si>
  <si>
    <t>https://docs.google.com/document/d/16yaJm23WSWIVwrD15ZPi9eaIicSw7Xn2/edit?usp=drivesdk&amp;ouid=110346958639123070701&amp;rtpof=true&amp;sd=true</t>
  </si>
  <si>
    <t>❗MANKEU❗pertemuan 6 : Bab 10 penentuan nilai saham
testi dari senior :
1. kalo bisa jelasin minimal spt video bapaknya di https://youtu.be/C0JZTvN_ePc?si=WX3GH_0DKeolsgSD
2. ⁠paham dan menguasai materi sampe ke inti2nya di tiap slide
3. ⁠awal ngomong jgn hah hoh hah hoh, harus terlihat paham. karena kalo tau awal2 udah kebingungan pasti ga belajar 
4. ⁠usahain pas menjelaskan materi maks 8-10 menit, kalo dah 4 menit dah aman sebenernya
5. ⁠boleh buka PPT, notes, hp ke depan
6. ⁠usahain belajar PPT bapaknya dulu baru zoom untuk diskusi bareng2 sama kelompoknya masing2</t>
  </si>
  <si>
    <t>2a964ec6-1b93-45c9-aa3c-73927559586b</t>
  </si>
  <si>
    <t>Deadline Pengumpulan Laporan Visit Proses Bisnis</t>
  </si>
  <si>
    <t>Tugas Proses Bisnis Wajib Pajak 👨‍🏭
Tiap kelompok melakukan kunjungan pada obyek pembelajaran (studi tour) dengan berfokus pada pendeskripsian proses bisnis obyek visitasi.
Uraian Tugas:
- Tiap kelompok menyusun daftar pertanyaan untuk mempelajari proses bisnis, bukan dalam rangka penggalian potensi. Sehingga tidak diperkenankan menanyakan omset, biaya, dst.
- Masing-masing kelompok mendokumentasikan aktivitas kunjungan dalam bentuk tulisan, audio, video.
- Masing-masing kelompok menuangkan dokumentasi dalam bentuk Tulisan (PPT) dan Presentasi (PPT dan sejenisnya).
Jadi, hasil yang dikumpulkan: laporan kegiatan hasil kunjungan, Power Point (PPT), dan video dokumentasi 
Di dalam laporan dan PPT ada diagram proses bisnis usaha yang diamati (BPMN/Flowchart)
Surat izin sedang dalam proses, jika sudah ditandatangani akan disampaikan kemudian.
⚠️ DL: Selasa, 3 June 2025, 23.59
Kriteria Penilaian:
● Kemampuan menangkap fenomena dalam proses bisnis yang diamati.
● Kemampuan mengidentifikasi komponen model bisnis.
● Kemampuan teknis proses bisnis.
● Kemampuan menuangkan dalam bentuk tulisan dan presentasi terstruktur.
● Kebenaran pemilihan simbol dalam menggambarkan proses atau bagian proses.
● Semakin tajam komentar/analisis semakin baik.
● Pengerjaan tugas yang terindikasi menyalin tugas teman, tidak diberikan nilai.</t>
  </si>
  <si>
    <t>a54c03f9-bcad-4c97-bc94-d5872614fae8</t>
  </si>
  <si>
    <t>https://docs.google.com/document/d/1Uz_oFHzYVq1t2XytiPq_KzrG_9xjgRIW/edit?usp=drivesdk&amp;ouid=110346958639123070701&amp;rtpof=true&amp;sd=true</t>
  </si>
  <si>
    <t xml:space="preserve">Kuis Pajak Internasional </t>
  </si>
  <si>
    <t xml:space="preserve">Kuis Pajak Internasional materi pertemuan 4,5,6
Pelajari materi pertemuan 6
Usahakan aktif di kelas ya, boleh tanya atau jawab, semangatttt </t>
  </si>
  <si>
    <t>3609f96b-9676-44ee-89e4-f912e4cb3229</t>
  </si>
  <si>
    <t>https://drive.google.com/file/d/1ldmAy2VK162oKZI7AUe7XNttEpNnd1FC/view?usp=drivesdk</t>
  </si>
  <si>
    <t>Tugas Komunikasi: Transkrip Roleplay Menjawab Telepon</t>
  </si>
  <si>
    <t>ketik, upload di LMS</t>
  </si>
  <si>
    <t>2293f9ab-1a4a-4842-a217-480e29246154</t>
  </si>
  <si>
    <t>https://drive.google.com/file/d/10p_M6pT_A9mrRKWdDfuaOuwdUQ3g0CwC/view?usp=drivesdk</t>
  </si>
  <si>
    <t>Tugas Komunikasi: Tugas Konsep ND</t>
  </si>
  <si>
    <t>Kerjakan tugas di halaman terakhir PPT pertemuan 5!</t>
  </si>
  <si>
    <t>c73ceefe-7ee7-4284-9cd7-4f715df01c56</t>
  </si>
  <si>
    <t>https://drive.google.com/file/d/1RoHxnag0Ggx19C14YssLWtewNq1usoHs/view?usp=drivesdk</t>
  </si>
  <si>
    <t>Kuis Pajak Internasional pertemuan 1-6, soal pilgan, materi bisa dilihat di link drive kelas yaa. Selamat belajar
https://drive.google.com/drive/folders/1K1PpoVr0EzIT3GiJBmkcgYABR6ct3Ec_</t>
  </si>
  <si>
    <t>17bec10a-06b4-4573-ae4f-8dec971896b3</t>
  </si>
  <si>
    <t>AKSK KELOMPOK</t>
  </si>
  <si>
    <t>Presentasi Kelompok
- Kelompok 4: Bab 10 Arens ed.17
- Kelompok 5: Bab 11 Arens ed.17
file presentasi dikumpulkan di https://bit.ly/44_AKSK
Paling lambat Sabtu, 31 Mei sebelum pukul 18.00 WIB</t>
  </si>
  <si>
    <t>433755e8-edcf-4777-a7cc-eaf0d9a0cf7c</t>
  </si>
  <si>
    <t>Tugas Kelompok Ke 2 dan 3 ADP</t>
  </si>
  <si>
    <t>AHMAD NUR WAKHID</t>
  </si>
  <si>
    <t xml:space="preserve">🚨🚨TUGAS ANALITIKA DATA PERPAJAKAN🚨🚨
Berikut pengumuman terkait Tugas Kelompok mata kuliah Analitika Data Perpajakan:
- Tugas Ke 2 (Pertemuan 4) Klasterisasi, Deadline Minggu, 1 Juni 2025 23.59 WIB
- Tugas Ke 3 (Pertemuan 5) Klasifikasi, Deadline Minggu, 1 Juni 2025 23.59 WIB
🏋‍♀Ketentuan Pengumpulan Tugas:
Data yang dianalisis:
- Bisa berupa data non-perpajakan, namun disarankan menggunakan data perpajakan untuk hasil yang lebih relevan (Nilai tugas akan lebih tinggi jika menggunakan data perpajakan dan jumlah baris data lebih dari 500 baris).
- Boleh menggunakan data sebelumnya (Tugas 1) atau bisa pake data baru
Kerahasiaan Data:
- Jika data mengandung informasi rahasia (Nama Wajib Pajak, NPWP, dll.), wajib disamarkan untuk menjaga privasi.
Format Laporan:
a. Permasalahan 
b. Eksplorasi Data 
c. Pemilihan Model 
d. Hasil 
e. Evaluasi model 
f. Interpretasi hasil 
g. Kesimpulan 
Referensi dapat dilihat di Folder Pak Galela Pertemuan 5 dan 6
Format  Penamaan File Tugas:
1. Data Excel: (.xlsx atau .csv) contoh: 4-4_Kelompok 1_Tugas Ke-3 Klasifikasi_Pertemuan 5.xlsx
2. File Orange: (.ows) contoh:  4-4_Kelompok 1_Tugas Ke-3 Klasifikasi_Pertemuan 5.ows
3. Laporan Hasil Analisis: (.pdf) contoh:  4-4_Kelompok 1_Tugas Ke-3 Klasifikasi_Pertemuan 5.pdf
(Tidak perlu di zip, langsung diupload di folder kelompok masing-masing)
📍Link Pengumpulan Tugas: [Link Pengumpulan Tugas:  https://drive.google.com/open?id=1DkQP4AZWubhDITHd1ZXpblnrrWJ81G-5&amp;usp=drive_fs ]
</t>
  </si>
  <si>
    <t>665e88bf-f9d2-4577-99fc-821df61a3207</t>
  </si>
  <si>
    <t>https://drive.google.com/file/d/1k2P2366NykznVmnFsWDacUe_OT5dMOck/view?usp=drivesdk</t>
  </si>
  <si>
    <t>❗MANKEU❗pertemuan 7 : Bab 11 Kriteria Pengambilan Keputusan Investasi
testi dari senior :
1. kalo bisa jelasin minimal spt video bapaknya di https://youtu.be/QmLLLpzlB4U?si=XOp_HWKz7tnPX2go
2. ⁠paham dan menguasai materi sampe ke inti2nya di tiap slide
3. ⁠awal ngomong jgn hah hoh hah hoh, harus terlihat paham. karena kalo tau awal2 udah kebingungan pasti ga belajar 
4. ⁠usahain pas menjelaskan materi maks 8-10 menit, kalo dah 4 menit dah aman sebenernya
5. ⁠boleh buka PPT, notes, hp ke depan
6. ⁠usahain belajar PPT bapaknya dulu baru zoom untuk diskusi bareng2 sama kelompoknya masing2</t>
  </si>
  <si>
    <t>db5f2750-26d1-40c4-b6a7-0008b6f07e08</t>
  </si>
  <si>
    <t>TUGAS AKM II</t>
  </si>
  <si>
    <t>✨Tugas AKM II✨
Tugas Individu (Penyelesaian Soal &amp; Infografis) dikumpulkan!
Tugas Presentasi
Pesensi 3 s.d. 4 (melanjutkan presentasi)
Presensi 5
Akuntansi Syariah Pembiayaan Mudarabah
📌 (Referensi OJK terlampir) Jelaskan
•⁠  ⁠jenis pembiayaan, penjelasan
•⁠  ⁠skema pembiayaan
•⁠  ⁠contoh kasus
•⁠  ⁠perhitungan 
•⁠  ⁠tabel
•⁠  ⁠jurnal:
Akun dalam bahasa indonesia (ikuti di modul), disampingnya ditulis juga nama akun dalam bahasa inggris.
📌 Format file Word atau Excel dan PPT
📌 nama file: No. Presensi_Nama Mahasiswa_No Soal_Jenis Materi
🗓️ Selasa, 3 Juni 2025
📍 LMS dan gdrive https://drive.google.com/drive/folders/16zmz1em_nsWKaNK9Zm-A8HwwGovP58gx
🤺🤺🤺🤺</t>
  </si>
  <si>
    <t>ea8e7dcb-b58c-40ff-9d5c-b2b2e43a5d36</t>
  </si>
  <si>
    <t>https://drive.google.com/file/d/1yr61DXxIbbdyHjulcrWxRvL0BOe7ZbZe/view?usp=drivesdk</t>
  </si>
  <si>
    <t>KUIS: Komunikasi Perpajakan</t>
  </si>
  <si>
    <t>kuis komunikasi perpajakan materi sebelum UTS, semangat</t>
  </si>
  <si>
    <t>8e13a89e-f5f9-4c90-92c3-dbdb1d3d827a</t>
  </si>
  <si>
    <t>❗MANKEU❗pertemuan 9 : Bab 13 Analisis Risiko dan
Evaluasi Proyek
1. kalo bisa jelasin minimal spt video bapaknya di https://www.youtube.com/watch?v=vzodECWNm5k&amp;list=PLRNfI9HLyZb8E4EWPl5NApDzkr7QfQwJH&amp;index=15 
2. ⁠paham dan menguasai materi sampe ke inti2nya di tiap slide
3. ⁠awal ngomong jgn hah hoh hah hoh, harus terlihat paham. karena kalo tau awal2 udah kebingungan pasti ga belajar 
4. ⁠usahain pas menjelaskan materi maks 8-10 menit, kalo dah 4 menit dah aman sebenernya
5. ⁠boleh buka PPT, notes, hp ke depan
6. ⁠usahain belajar PPT bapaknya dulu baru zoom untuk diskusi bareng2 sama kelompoknya masing2</t>
  </si>
  <si>
    <t>7fccc417-6009-4f65-ab3f-6ce408b5f4a1</t>
  </si>
  <si>
    <t>❗MANKEU❗pertemuan 8 : Bab 12 Analisis Arus Kas
Proyek
testi dari senior :
1. kalo bisa jelasin minimal spt video bapaknya di https://www.youtube.com/watch?v=qeoW3j7oMW4&amp;list=PLRNfI9HLyZb8E4EWPl5NApDzkr7QfQwJH&amp;index=11 
2. ⁠paham dan menguasai materi sampe ke inti2nya di tiap slide
3. ⁠awal ngomong jgn hah hoh hah hoh, harus terlihat paham. karena kalo tau awal2 udah kebingungan pasti ga belajar 
4. ⁠usahain pas menjelaskan materi maks 8-10 menit, kalo dah 4 menit dah aman sebenernya
5. ⁠boleh buka PPT, notes, hp ke depan
6. ⁠usahain belajar PPT bapaknya dulu baru zoom untuk diskusi bareng2 sama kelompoknya masing2</t>
  </si>
  <si>
    <t>b4475269-32ff-43da-9975-c942b4531f94</t>
  </si>
  <si>
    <t>Tugas ADP Ke 4 Regresi</t>
  </si>
  <si>
    <t xml:space="preserve">🚨🚨TUGAS ANALITIKA DATA PERPAJAKAN🚨🚨
Berikut pengumuman terkait Tugas Kelompok mata kuliah Analitika Data Perpajakan:
- Tugas Ke 4 (Pertemuan 6) Regresi, Deadline Minggu, 15 Juni 2025 23.59 WIB
Data yang dianalisis:
- Bisa berupa data non-perpajakan, namun disarankan menggunakan data perpajakan untuk hasil yang lebih relevan (Nilai tugas akan lebih tinggi jika menggunakan data perpajakan dan jumlah baris data lebih dari 500 baris).
- Boleh menggunakan data sebelumnya (Tugas 1) atau bisa pake data baru
Kerahasiaan Data:
- Jika data mengandung informasi rahasia (Nama Wajib Pajak, NPWP, dll.), wajib disamarkan untuk menjaga privasi.
Format Laporan:
a. Permasalahan 
b. Eksplorasi Data 
c. Pemilihan Model 
d. Hasil 
e. Evaluasi model 
f. Interpretasi hasil 
g. Kesimpulan 
Referensi dapat dilihat di Folder Pak Galela Pertemuan 7
Format  Penamaan File Tugas:
1. Data Excel: (.xlsx atau .csv) contoh: 4-4_Kelompok 1_Tugas Ke-4 Regresi_Pertemuan 6.xlsx
2. File Orange: (.ows) contoh:  4-4_Kelompok 1_4-4_Kelompok 1_Tugas Ke-4 Regresi_Pertemuan 6.ows
3. Laporan Hasil Analisis: (.pdf) contoh:  4-4_Kelompok 1_Tugas Ke-4 Regresi_Pertemuan 6.pdf
(Tidak perlu di zip, langsung diupload di folder kelompok masing-masing)
📍Link Pengumpulan Tugas: [Link Pengumpulan Tugas:  https://drive.google.com/open?id=1DkQP4AZWubhDITHd1ZXpblnrrWJ81G-5&amp;usp=drive_fs ]
</t>
  </si>
  <si>
    <t>f7d77b56-d390-4f55-a0d9-26c0586ea83a</t>
  </si>
  <si>
    <t>DL: Senin, 30 Juni 2025 (sebelum kelas)</t>
  </si>
  <si>
    <t>b2d38c58-1198-4b60-8c10-a5c82724ec3f</t>
  </si>
  <si>
    <t>https://drive.google.com/file/d/1VCn3D6mtmQOVf7tXia4e0ER-ndmU53d2/view?usp=drivesdk</t>
  </si>
  <si>
    <t>Tugas Public Speaking</t>
  </si>
  <si>
    <t>1. Pilihlah satu topik yang kamu senangi dan ingin bagikan kepada teman-teman. Topik bebas (selain perpajakan).
2. Siapkan slide presentasi, dengan ketentuan:
• halaman pertama berisi judul, nama, kelas, dan nomor urut
• tidak ada batasan jumlah halaman, namun slide dipersiapkan untuk berbicara dalam waktu 7-10 menit
• boleh menggunakan template dan animasi
• gunakan panduan membuat slide presentasi seperti yang telah diajarkan
• dapat dibuat menggunakan aplikasi Ms powerpoint, canva, prezi atau aplikasi presentasi online lainnya.
3. Slide dikumpulkan di Assignment LMS dalam bentuk PDF atau tautan/link (jika menggunakan aplikasi online).</t>
  </si>
  <si>
    <t>139b830b-b1b8-4b8a-bd07-93baa6643819</t>
  </si>
  <si>
    <t>https://drive.google.com/file/d/18adt1oeGN__fIOXcx6HkXQW6K5aIqG3a/view?usp=drivesdk</t>
  </si>
  <si>
    <t>10647fba-8de5-4de9-9c60-c1233aa5bebb</t>
  </si>
  <si>
    <t>https://drive.google.com/file/d/16j6jjacEEXpTFNK28yQjFGnwxtGWm2Dt/view?usp=drivesdk</t>
  </si>
  <si>
    <t>b46ef3d2-1c3a-4b21-8dd5-6465fcc6e73f</t>
  </si>
  <si>
    <t xml:space="preserve">1. Tugas Individu ke-6
- Resume materi BIRU (liat lampiran)
2. Tugas Individu ke-7
- Resume materi PINK (liat lampiran)
Ketentuan resume :
- Setiap tugas resume maksimal 2 halaman folio
- Ditulis tangan di kertas ukuran folio (buku/kertas)
3. Tugas Individu ke-8
- Tulis tangan kertas kerja (tugas modul 1-2 buku 1)
- Format excel kertas kerja kosongan boleh diprint
4. Tugas Individu ke-9
- Tulis tangan kertas kerja (tugas modul 3 buku 1)
- Format excel kertas kerja kosongan boleh diprint
⚠ Pengumpulan: https://bit.ly/44_AKSK
📅 Deadline: Sabtu, 5 Juli 2025 sebelum pukul 18.00 WIB
</t>
  </si>
  <si>
    <t>17a21b71-2d18-4107-b705-8db691178e28</t>
  </si>
  <si>
    <t>https://drive.google.com/file/d/1Pml9WhO3KnyodgFsjFzaEF6wqQ4bCKIs/view?usp=drivesdk</t>
  </si>
  <si>
    <t xml:space="preserve">Tugas Kelompok
- Semua Kelompok: mengerjakan tugas modul 3 buku 1
- Kelompok 2 : maju presentasi tugas modul 2 buku 1
- Kelompok 3 : maju presentasi tugas modul 3 buku 1
⚠ Pengumpulan: https://bit.ly/44_AKSK
📅 Deadline: Sabtu, 5 Juli 2025 sebelum pukul 18.00 WIB
</t>
  </si>
  <si>
    <t>a38dcf50-1869-488b-9575-15cd023a2e28</t>
  </si>
  <si>
    <t>❗MANKEU❗pertemuan 10 : Bab 14 Biaya Modal
1. kalo bisa jelasin minimal spt video bapaknya di https://www.youtube.com/watch?v=OS5aKBJrgfc&amp;list=PLRNfI9HLyZb8E4EWPl5NApDzkr7QfQwJH&amp;index=12 
2. ⁠paham dan menguasai materi sampe ke inti2nya di tiap slide
3. ⁠awal ngomong jgn hah hoh hah hoh, harus terlihat paham. karena kalo tau awal2 udah kebingungan pasti ga belajar 
4. ⁠usahain pas menjelaskan materi maks 8-10 menit, kalo dah 4 menit dah aman sebenernya
5. ⁠boleh buka PPT, notes, hp ke depan
6. ⁠usahain belajar PPT bapaknya dulu baru zoom untuk diskusi bareng2 sama kelompoknya masing2</t>
  </si>
  <si>
    <t>83379eb3-4cd2-40b0-8440-3725137b92c1</t>
  </si>
  <si>
    <t>❗MANKEU❗pertemuan 11 : Bab 15 Kebijakan Struktur ModaL &amp; Bab 16 Kebijakan Dividen
1. kalo bisa jelasin minimal spt video bapaknya di https://www.youtube.com/watch?v=vzodECWNm5k&amp;list=PLRNfI9HLyZb8E4EWPl5NApDzkr7QfQwJH&amp;index=15 &amp; https://www.youtube.com/watch?v=UVpC7ZmSIUs&amp;list=PLRNfI9HLyZb8E4EWPl5NApDzkr7QfQwJH&amp;index=16
2. ⁠paham dan menguasai materi sampe ke inti2nya di tiap slide
3. ⁠awal ngomong jgn hah hoh hah hoh, harus terlihat paham. karena kalo tau awal2 udah kebingungan pasti ga belajar 
4. ⁠usahain pas menjelaskan materi maks 8-10 menit, kalo dah 4 menit dah aman sebenernya
5. ⁠boleh buka PPT, notes, hp ke depan
6. ⁠usahain belajar PPT bapaknya dulu baru zoom untuk diskusi bareng2 sama kelompoknya masing2</t>
  </si>
  <si>
    <t>86ba82d8-b925-4211-880b-71a8cc088fd8</t>
  </si>
  <si>
    <t>❗MANKEU❗pertemuan 12 : Bab 17 Peramalan dan Perencanaan Keuangan
1. kalo bisa jelasin minimal spt video bapaknya di https://www.youtube.com/watch?v=rWdRDEeDu10&amp;list=PLRNfI9HLyZb8E4EWPl5NApDzkr7QfQwJH&amp;index=17
2. ⁠paham dan menguasai materi sampe ke inti2nya di tiap slide
3. ⁠awal ngomong jgn hah hoh hah hoh, harus terlihat paham. karena kalo tau awal2 udah kebingungan pasti ga belajar 
4. ⁠usahain pas menjelaskan materi maks 8-10 menit, kalo dah 4 menit dah aman sebenernya
5. ⁠boleh buka PPT, notes, hp ke depan
6. ⁠usahain belajar PPT bapaknya dulu baru zoom untuk diskusi bareng2 sama kelompoknya masing2</t>
  </si>
  <si>
    <t>8049de7b-0d10-415b-b58c-d5e3098993e4</t>
  </si>
  <si>
    <t>❗MANKEU❗pertemuan 13 : Bab 18 Manajemen Modal Kerja
1. kalo bisa jelasin minimal spt video bapaknya di https://www.youtube.com/watch?v=UHVO0p6kFX8&amp;list=PLRNfI9HLyZb8E4EWPl5NApDzkr7QfQwJH&amp;index=14
2. ⁠paham dan menguasai materi sampe ke inti2nya di tiap slide
3. ⁠awal ngomong jgn hah hoh hah hoh, harus terlihat paham. karena kalo tau awal2 udah kebingungan pasti ga belajar 
4. ⁠usahain pas menjelaskan materi maks 8-10 menit, kalo dah 4 menit dah aman sebenernya
5. ⁠boleh buka PPT, notes, hp ke depan
6. ⁠usahain belajar PPT bapaknya dulu baru zoom untuk diskusi bareng2 sama kelompoknya masing2</t>
  </si>
  <si>
    <t>939df436-a91f-4652-854e-792d55792b27</t>
  </si>
  <si>
    <t>Tugas Probis WP</t>
  </si>
  <si>
    <t>Buatlah update regulasi terkait ekonomi digital (termasuk peraturan-peraturan yang ada di PPT Pertemuan ke-8, terlampir.)
Buatlah update regulasi terdiri dari:
- Regulasi secara umum (OJK dll)
- Regulasi terkait perpajakan
Kalau bisa jawabannya yang panjang ya, bu Endah ga suka jawaban pendek.
Dikumpulkan paling lambat hari Selasa tanggal 8 Juli 2025 Pukul 23:59 dalam format PDF/Word
Submit LMS
Notes dari PIC : 
Update semua peraturan-peraturan di PPT Pertemuan ke-9.
Ceritakan peraturan-peraturan yang sudah berubah, lebih bagus ada lini masa perubahan PER/PMK/PP nya, jelasin yg detail dan banyak aja deh.
Jangan singkat jawabannya, soalnya bu Endah suka jawaban yg panjang 👍
Tugas boleh dikumpulkan dalam format word/pdf</t>
  </si>
  <si>
    <t>949e625c-72e2-493d-a005-49399ec2c8d1</t>
  </si>
  <si>
    <t>https://drive.google.com/file/d/1uE--LTKeY1yMf9--qXRy7BFWUAHvr8Ns/view?usp=drivesdk</t>
  </si>
  <si>
    <t>Kerja Bakti</t>
  </si>
  <si>
    <t>Community Service (also known as 'Kerja Bakti')
🗓️ Friday, 04 July 2025
🕓 16.00 till 17.00 Western Indonesia Time
📍 (attached, check by full name)
'Pelopor Kebaikan' can make mistakes. Check the attached link. See https://bit.ly/Kerjabaktidansortirsampah_Penumbuhan</t>
  </si>
  <si>
    <t>e422aff1-cd0b-4c81-9c1e-20995eda2ff7</t>
  </si>
  <si>
    <t>✨Tugas AKM II✨
1️⃣ Tugas Individu
1.⁠ ⁠Penyelesaian soal (ditulis tangan)
2.⁠ ⁠⁠Membuat Kerangka materi / infografis (ringkas dan komprehensif, dalam bentuk gambar dan kata kunci) (tulis tangan, cukup 1 halaman, boleh lebih) di buku B5 dapat melanjutkan dr buku AKM I
2️⃣ Tugas Presentasi
Presensi 5 s.d. 11 (Soal Pertemuan 10)
📌 Urutan pengerjaan 
•⁠  ⁠Pokok Materi
•⁠  ⁠⁠Referensi, halaman, dan penjelasan (infografis, ringkas dan komprehensif, dalam bentuk bagan, tabel, dan kata kunci)
•⁠  ⁠⁠Soal, data singkat, subpertanyaan, jawaban (disertai data yang diperlukan, penjelasan langkah-langkah pengerjaan soal, hitungan)
•⁠  ⁠⁠Setiap subpertanyaan langsung disandingkan dengan jawaban
•⁠  ⁠⁠Jumlah slide sesedikit mungkin
📌 Format file Word atau Excel dan PPT
📌 nama file: No. Presensi_Nama Mahasiswa_No Soal_Jenis Materi
🗓️ Selasa, 8 Mei 2025
📍 LMS dan gdrive
https://drive.google.com/drive/folders/1EfxeoDokR5GHJIEZU3oWr2AlEPJGT_L_
🤺🤺🤺🤺</t>
  </si>
  <si>
    <t>82b02a6f-8822-4d8d-ac21-d548abd524ee</t>
  </si>
  <si>
    <t>https://drive.google.com/file/d/1mt1lNf5USb04qd1uinc6E6zA0raMupvO/view?usp=drivesdk</t>
  </si>
  <si>
    <t>Komunikasi</t>
  </si>
  <si>
    <t>tugas merangkum video sesuai PPT
link video : https://www.youtube.com/watch?v=m0GzD8fZr70
format penamaan: 4-4_absen_nama_tugas rangkuman video</t>
  </si>
  <si>
    <t>a0cf3905-5a36-4f5c-b02b-0b8753a1503c</t>
  </si>
  <si>
    <t>https://drive.google.com/file/d/1hvvqBjRnpF2HxTbed_VduOUyoi2g_6Lu/view?usp=drivesdk</t>
  </si>
  <si>
    <t>7375edba-6d6d-40dd-9bb2-6d29eb669dd3</t>
  </si>
  <si>
    <t>4a78d1de-3192-4e6c-9849-37d3bea473ab</t>
  </si>
  <si>
    <t>https://drive.google.com/file/d/1Y0V-K2RcUNoQsFkgHgfiDnYoQnMzHejD/view?usp=drivesdk</t>
  </si>
  <si>
    <t>Pelajari masteri PI, kasus mandalika</t>
  </si>
  <si>
    <t>Kasus Mandalika: Apakah sudah ditetapkan menjadi BUT? Jika ya/tidak, apa alasannya?
Bagi yang punya kenalan, minta tolong tanyakan ke KPP Pratama Praya (terima kasih)
Pelajari materi  kondisi PE berkaitan dengan subsidiary. 
10.1. Ketepatan menjelaskan konsep laba usaha; 
10.2. Ketepatan menjelaskan cakupan laba usaha yang dapat dipajaki di negara lokasi BUT; 
10.3. Ketepatan menjelaskan penentuan laba BUT berdasarkan artibusi faktual; 
10.4. Ketepatan menjelaskan ketentuan khusus bagi penghasilan dari pengangkutan laut dan udara.
materi terlampir
Reminder: kemungkinan PI sama seperti pertemuan sebelumnya, No gadget, laptop, dll. Jadi untuk persiapan kelas bisa siapkan catatan/print materi, atau yang lain yang bisa digunakan untuk mendukung pembelajaran di kelas.</t>
  </si>
  <si>
    <t>1ba403fa-afc6-4616-ab14-46a17523759c</t>
  </si>
  <si>
    <t>https://drive.google.com/file/d/1ufLBF4qi9nNjiyO4Vhhuvjqgm-1uBnZM/view?usp=drivesdk</t>
  </si>
  <si>
    <t>🟢 Apel Nonasrama 🟢
1. Sarjana Terapan (Alih Program) Semester 8
2. D-III semester 4
📆 Selasa, 8 Juli 2025
🕢 06.30 s.d. 07.00 WIB 
🏛 Lapangan A (Ged. G digunakan apabila kondisi hujan)
🎙 Akhmad Priharjanto (Plt Kepala Program Studi Akuntansi Sektor Publik) 
Mahasiswa hadir dan siap di barisan pukul 06.15 WIB tepat. Setiap kelas mendokumentasikan kehadiran dan disampaikan kepada UPK maksimal pada pukul 20.00 sesuai ketentuan pada tautan:
bit.ly/rekapkegiatanrutin
Terima kasih.</t>
  </si>
  <si>
    <t>50c8b79e-8a9f-4faa-b52c-820cd1bace79</t>
  </si>
  <si>
    <t xml:space="preserve">Tugas Individu ke-10
- Resume materi Arens Bab 17, 18, 20 
Ketentuan resume :
- 3 Bab itu dijadiin 1 resume ya, maks 2 halaman folio 
- Ditulis tangan di kertas ukuran folio (buku/kertas)
⚠ Pengumpulan: https://bit.ly/44_AKSK
📅 Deadline: Sabtu, 12 Juli 2025 sebelum pukul 18.00 WIB
</t>
  </si>
  <si>
    <t>cfb58659-df4b-40c7-a956-ea75b0ee02c2</t>
  </si>
  <si>
    <t xml:space="preserve">TUGAS KELOMPOK
Tugas ke-9: Reviu ICQ Modul 2 (tabel buku 1 hal 46);
Tugas ke-10: Reviu ICQ Modul 3(tabel buku 1 hal 78);
Ketentuan Reviu ICQ: bagaimana potensi mistatement nya (yg jawaban kuesionernya tidak), apa kelebihan dan kelemahan pengendaliannya, apa saja langkah audit untuk cek dan uji kelebihan dan kelemahan tsb
Tambahan: Kelompok 3 presentasi modul 3
⚠ Pengumpulan: https://bit.ly/44_AKSK
📅 Deadline: Sabtu, 12 Juli 2025 sebelum pukul 18.00 WIB
</t>
  </si>
  <si>
    <t>b4a45694-a8ca-4a1c-8f43-b499eff88685</t>
  </si>
  <si>
    <t>Tugas ADP KE 5 Time Series</t>
  </si>
  <si>
    <t xml:space="preserve">🚨🚨TUGAS ANALITIKA DATA PERPAJAKAN🚨🚨
Berikut pengumuman terkait Tugas Kelompok mata kuliah Analitika Data Perpajakan:
- Tugas Ke 5 (Pertemuan 9-10) Time Series, Deadline Senin, 14 Juli 2025 23.59 WIB
Data yang dianalisis:
- Bisa berupa data non-perpajakan, namun disarankan menggunakan data perpajakan untuk hasil yang lebih relevan (Nilai tugas akan lebih tinggi jika menggunakan data perpajakan dan jumlah baris data lebih dari 500 baris).
- Boleh menggunakan data sebelumnya (Tugas 1) atau bisa pake data baru
Kerahasiaan Data:
- Jika data mengandung informasi rahasia (Nama Wajib Pajak, NPWP, dll.), wajib disamarkan untuk menjaga privasi.
Format Laporan:
a. Permasalahan 
b. Eksplorasi Data 
c. Pemilihan Model 
d. Hasil 
e. Evaluasi model 
f. Interpretasi hasil 
g. Kesimpulan 
Referensi dapat dilihat di Folder Pak Galela Pertemuan 9-10 (https://drive.google.com/drive/folders/1cVmRp7obwl7gm8WepPYv6xOh9jcjHxYV?usp=drive_link)
Format  Penamaan File Tugas:
1. Data Excel: (.xlsx atau .csv) contoh: 4-4_Kelompok 1_Tugas Ke-5 Time Series_Pertemuan 9-10.xlsx
2. File Orange: (.ows) contoh:  4-4_Kelompok 1_Tugas Ke-5 Time Series_Pertemuan 9-10.ows
3. Laporan Hasil Analisis: (.pdf) contoh:  4-4_Kelompok 1_Tugas Ke-5 Time Series_Pertemuan 9-10.pdf
(Tidak perlu di zip, langsung diupload di folder kelompok masing-masing)
📍Link Pengumpulan Tugas: [Link Pengumpulan Tugas:  https://drive.google.com/open?id=1DkQP4AZWubhDITHd1ZXpblnrrWJ81G-5&amp;usp=drive_fs ]
</t>
  </si>
  <si>
    <t>5260580b-f9c3-496d-82b7-df3b8844e39c</t>
  </si>
  <si>
    <t>https://drive.google.com/file/d/1IaT9VfwrzD8CrlXZP_JnHhg1zCMrCVS_/view?usp=drivesdk</t>
  </si>
  <si>
    <t>✨Tugas AKM II✨
1️⃣ Tugas Individu
1.⁠ ⁠Penyelesaian soal (ditulis tangan)
2.⁠ ⁠⁠Membuat Kerangka materi / infografis (ringkas dan komprehensif, dalam bentuk gambar dan kata kunci) (tulis tangan, cukup 1 halaman, boleh lebih) di buku B5 dapat melanjutkan dr buku AKM I
3. Materi tentang Akuntansi Syariah ditulis penertiannya dan perbedaannya dengan yang konvensional saja tidak sampai contoh soal/kasusnya.
Utk bab 20, jawaban soal CA merupakan bagian dari ringkasan
2️⃣ Tugas Presentasi
Presensi 11 (melanjutkan presentasi sebelumnya)
Presensi 12 s.d. 23 (Soal Pertemuan 11)
Perhatikan detil instruksi pengerjaan per masing-masing soal yang ada pada pdf tugas ‼️
📌 Urutan pengerjaan 
•⁠  ⁠Pokok Materi
•⁠  ⁠⁠Referensi, halaman, dan penjelasan (infografis, ringkas dan komprehensif, dalam bentuk bagan, tabel, dan kata kunci)
•⁠  ⁠⁠Soal, data singkat, subpertanyaan, jawaban (disertai data yang diperlukan, penjelasan langkah-langkah pengerjaan soal, hitungan)
•⁠  ⁠⁠Setiap subpertanyaan langsung disandingkan dengan jawaban
•⁠  ⁠⁠Jumlah slide sesedikit mungkin
📌 Format file Word atau Excel dan PPT
📌 nama file: No. Presensi_Nama Mahasiswa_No Soal_Jenis Materi
🗓️ Selasa, 15 Juli 2025
📍 LMS dan gdrive
https://drive.google.com/drive/folders/1EfxeoDokR5GHJIEZU3oWr2AlEPJGT_L_
🤺🤺🤺🤺</t>
  </si>
  <si>
    <t>b46be921-e26e-4e19-ac92-14bb395aec5c</t>
  </si>
  <si>
    <t>https://drive.google.com/file/d/10Ojx9zJYPVbeGT9SsQ8ytG_SPDemQkye/view?usp=drivesdk</t>
  </si>
  <si>
    <t>Tugas KomPer: Feature dan Opini</t>
  </si>
  <si>
    <t>Carilah 1 tulisan berjenis feature dan 1 tulisan berjenis opini!</t>
  </si>
  <si>
    <t>ddf29cbf-de20-4bfd-81c5-a4d6eef88e2c</t>
  </si>
  <si>
    <t>Tugas KomPer: Membuat Opini</t>
  </si>
  <si>
    <t>Buatlah artikel opini tentang isu perpajakan!
di PPT ada cara penulisan Opini yang baik</t>
  </si>
  <si>
    <t>175ba0c1-642c-4ff3-b04c-018b7bdae22d</t>
  </si>
  <si>
    <t>https://drive.google.com/file/d/1ZvCAnI7FZNladdFXkqZ8h51npxD0GFBw/view?usp=drivesdk</t>
  </si>
  <si>
    <t>d059e340-76f9-468c-9361-972370af59a6</t>
  </si>
  <si>
    <t>https://drive.google.com/file/d/1Nl4YakgsTMVEqErx79TYAb9FOlwY2biR/view?usp=drivesdk</t>
  </si>
  <si>
    <t>fd8a54c0-6367-40bd-92af-0b3afa6fe6fd</t>
  </si>
  <si>
    <t>Pajak Internasional</t>
  </si>
  <si>
    <t>Pertemuan ke 3 setelah uts (pertemuan ke  11)
SIlahkan dipelajari guys, bisa baca dari ddtc juga. Terima kasih, semoga dipermudah memahami materinya ya 🫶🩵</t>
  </si>
  <si>
    <t>630a6576-8f53-4ca6-8b0b-4f7ce3330d71</t>
  </si>
  <si>
    <t>https://drive.google.com/file/d/1sU8oC5s_zzx1BHMT8RjcoDilWXo2Eks0/view?usp=drivesdk</t>
  </si>
  <si>
    <t>Pelajari materi 9, 10 Pajak Internasional
File yg materi 9 gabung sama 8 kemarin</t>
  </si>
  <si>
    <t>1592fab7-536f-4586-8b37-f60623bcde8a</t>
  </si>
  <si>
    <t>https://drive.google.com/file/d/1jmb7-dwehPKWSLWqHijjdQHB1InFGeAo/view?usp=drivesdk</t>
  </si>
  <si>
    <t>TUGAS AKSK KELOMPOK:
-tugas kelompok-11 submit modul 1 update modul 3
-tugas kelompok-12 modul 5 semua submit
-tugas kelompok-13 modul 6 semua submit
-kel 4 maju modul 5 
-kel 5 maju modul 6
Submit di gform seperti biasa sebelum 18.00 WIB</t>
  </si>
  <si>
    <t>e9d6f7b9-7a6e-4e9f-8027-b66ee29aa560</t>
  </si>
  <si>
    <t>Tugas ADP Ke 6</t>
  </si>
  <si>
    <t xml:space="preserve">🚨🚨TUGAS ANALITIKA DATA PERPAJAKAN🚨🚨
Berikut pengumuman terkait Tugas Kelompok mata kuliah Analitika Data Perpajakan:
- Tugas Ke 5 (Pertemuan 11) Asosiasi, Deadline Senin, 21 Juli 2025 23.59 WIB
Data yang dianalisis:
- Bisa berupa data non-perpajakan, namun disarankan menggunakan data perpajakan untuk hasil yang lebih relevan (Nilai tugas akan lebih tinggi jika menggunakan data perpajakan dan jumlah baris data lebih dari 500 baris).
- Boleh menggunakan data sebelumnya (Tugas 1) atau bisa pake data baru
Kerahasiaan Data:
- Jika data mengandung informasi rahasia (Nama Wajib Pajak, NPWP, dll.), wajib disamarkan untuk menjaga privasi.
Format Laporan:
a. Permasalahan
b. Eksplorasi Data
c. Pemilihan Model
d. Hasil
e. Evaluasi model
f. Interpretasi hasil
g. Kesimpulan
Referensi dapat dilihat di Folder Pak Galela Pertemuan 8 (https://drive.google.com/drive/folders/1dYOSvU9FEoax99W7a495CPq4pIVNl-nb?usp=drive_link)
Format Penamaan File Tugas:
1. Data Excel: (.xlsx atau .csv) contoh: 4-4_Kelompok 1_Tugas Ke-6 Asosiasi_Pertemuan 11.xlsx
2. File Orange: (.ows) contoh: 4-4_Kelompok 1_Tugas Ke-6 Asosiasi_Pertemuan 11.ows
3. Laporan Hasil Analisis: (.pdf) contoh: 4-4_Kelompok 1_Tugas Ke-6 Asosiasi_Pertemuan 11.pdf
(Tidak perlu di zip, langsung diupload di folder kelompok masing-masing)
📍Link Pengumpulan Tugas: [Link Pengumpulan Tugas: https://drive.google.com/open?id=1DkQP4AZWubhDITHd1ZXpblnrrWJ81G-5&amp;usp=drive_fs ]
</t>
  </si>
  <si>
    <t>4d0d9946-54ca-4332-aeb9-bf5048131677</t>
  </si>
  <si>
    <t>✨Tugas AKM II✨
1️⃣ Tugas Individu
1.⁠ ⁠Penyelesaian soal (ditulis tangan)
2.⁠ ⁠⁠Membuat Kerangka materi / infografis (ringkas dan komprehensif, dalam bentuk gambar dan kata kunci) (tulis tangan, cukup 1 halaman, boleh lebih) di buku B5 dapat melanjutkan dr buku AKM I
3. Materi tentang Akuntansi Syariah ditulis pengertiannya dan perbedaannya dengan yang konvensional, soal jawab jadinya juga ditulis ya, data soal bisa diringkas.
Utk bab 20, jawaban soal CA merupakan bagian dari ringkasan
2️⃣ Tugas Presentasi
Presensi 17 s.d. 23 (melanjutkan presentasi sebelumnya)
Presensi 24 (Soal Pertemuan 12)
Perhatikan detil instruksi pengerjaan per masing-masing soal yang ada pada pdf tugas ‼️
📌 Urutan pengerjaan 
•⁠  ⁠Pokok Materi
•⁠  ⁠⁠Referensi, halaman, dan penjelasan (infografis, ringkas dan komprehensif, dalam bentuk bagan, tabel, dan kata kunci)
•⁠  ⁠⁠Soal, data singkat, subpertanyaan, jawaban (disertai data yang diperlukan, penjelasan langkah-langkah pengerjaan soal, hitungan)
•⁠  ⁠⁠Setiap subpertanyaan langsung disandingkan dengan jawaban
•⁠  ⁠⁠Jumlah slide sesedikit mungkin
📌 Format file Word atau Excel dan PPT
📌 nama file: No. Presensi_Nama Mahasiswa_No Soal_Jenis Materi
🗓️ Selasa, 22 Juli 2025
📍 LMS dan gdrive
https://drive.google.com/drive/folders/1EfxeoDokR5GHJIEZU3oWr2AlEPJGT_L_
🤺🤺🤺🤺</t>
  </si>
  <si>
    <t>287288b4-f963-4b02-925c-b3f73429bfb5</t>
  </si>
  <si>
    <t>https://drive.google.com/file/d/1w4G_yh3dbns6Kg6gA2BYuT9FGermGzwQ/view?usp=drivesdk</t>
  </si>
  <si>
    <t>Tugas Profil WP</t>
  </si>
  <si>
    <t xml:space="preserve">Susunlah Profil WP berdasarkan data di LMS ke dalam bentuk PPT. 
Pembagian kelompok ada di lampiran 
Jaga-jaga ibunya minta presentasi lebih awal
</t>
  </si>
  <si>
    <t>4d4b630c-1538-4d10-993e-920a81a73b1c</t>
  </si>
  <si>
    <t>https://drive.google.com/file/d/178uzdOo7u5r5HAuYBrEe35xJk5YwEUeQ/view?usp=drivesdk</t>
  </si>
  <si>
    <t>6a84bd32-6c57-4eb0-aaa7-147b214bf072</t>
  </si>
  <si>
    <t>1d4887c4-152e-4050-a2b0-9194b460355a</t>
  </si>
  <si>
    <t>https://drive.google.com/file/d/1hgKB2AowjvT57wNQXQ9u7-MsL5OmrRXT/view?usp=drivesdk</t>
  </si>
  <si>
    <t>75e3f987-c4c8-48d7-ba80-e6f14197f644</t>
  </si>
  <si>
    <t xml:space="preserve">TUGAS KELOMPOK:
- tugas kelompok-14 mereviu ICQ modul 7 
- tugas kelompok-15 mereviu ICQ modul 8 
Ketentuan Reviu ICQ: bagaimana potensi mistatement nya (yg jawaban kuesionernya tidak), apa kelebihan dan kelemahan pengendaliannya, apa saja langkah audit untuk cek dan uji kelebihan dan kelemahan tsb
- tugas kelompok-16 mengerjakan modul 7 
- tugas kelompok-17 mengerjakan modul  8
Tambahan:
- kelompok 6 maju modul 7
- kelompok 7 maju modul 8
Pengumpulan: https://bit.ly/44_AKSK </t>
  </si>
  <si>
    <t>82bd0f60-a0c8-49a0-892c-1896970eece3</t>
  </si>
  <si>
    <t>AKSK INDIVIDU</t>
  </si>
  <si>
    <t>TUGAS INDIVIDU:
tugas individu-11: buat resume bab 19 dan 21 arens (2 bab dijadiin 1 rangkuman, maks 2 halaman)
Pengumpulan: https://bit.ly/44_AKSK</t>
  </si>
  <si>
    <t>42e72354-0757-4d4e-8c62-afc4261bc3c5</t>
  </si>
  <si>
    <t>Tugas Komper: Edukasi Perpajakan</t>
  </si>
  <si>
    <t xml:space="preserve">di upload di LMS pertemuan 6
</t>
  </si>
  <si>
    <t>a3bfc159-ac2a-43c1-bc54-f522f5e73ea9</t>
  </si>
  <si>
    <t>https://drive.google.com/file/d/1LRNo2MwzN6x-UUrf6OJ8dplh8Hwgjuyq/view?usp=drivesdk</t>
  </si>
  <si>
    <t>✨Tugas AKM II✨
1️⃣ Tugas Individu
1.⁠ ⁠Penyelesaian soal (ditulis tangan)
2.⁠ ⁠⁠Membuat Kerangka materi / infografis (ringkas dan komprehensif, dalam bentuk gambar dan kata kunci) (tulis tangan, cukup 1 halaman, boleh lebih) di buku B5 dapat melanjutkan dr buku AKM I
3. Materi tentang Akuntansi Syariah ditulis pengertiannya dan perbedaannya dengan yang konvensional, soal jawab jadinya juga ditulis ya, data soal bisa diringkas.
Utk bab 20, jawaban soal CA merupakan bagian dari ringkasan
2️⃣ Tugas Presentasi
Presensi 24 (melanjutkan presentasi sebelumnya)
Presensi 25 s.d. 4 (Soal Pertemuan 13)
Perhatikan detil instruksi pengerjaan per masing-masing soal yang ada pada pdf tugas ‼️
*TERDAPAT REVISI PDF TUGAS PRESENTASI (REV2)
📌 Urutan pengerjaan 
•⁠  ⁠Pokok Materi
•⁠  ⁠⁠Referensi, halaman, dan penjelasan (infografis, ringkas dan komprehensif, dalam bentuk bagan, tabel, dan kata kunci)
•⁠  ⁠⁠Soal, data singkat, subpertanyaan, jawaban (disertai data yang diperlukan, penjelasan langkah-langkah pengerjaan soal, hitungan)
•⁠  ⁠⁠Setiap subpertanyaan langsung disandingkan dengan jawaban
•⁠  ⁠⁠Jumlah slide sesedikit mungkin
📌 Format file Word atau Excel dan PPT
📌 nama file: No. Presensi_Nama Mahasiswa_No Soal_Jenis Materi
🗓️ Selasa, 29 Juli 2025
📍 LMS dan gdrive
https://drive.google.com/drive/folders/1EfxeoDokR5GHJIEZU3oWr2AlEPJGT_L_
🤺🤺🤺🤺</t>
  </si>
  <si>
    <t>a4b4156d-84fd-4470-aa30-1c44c401d402</t>
  </si>
  <si>
    <t>https://drive.google.com/file/d/15g9jp5wqMUcNm28hS6h1i7j3T0lv4pob/view?usp=drivesdk</t>
  </si>
  <si>
    <t>6320398a-f3b5-479e-856b-806927ebd038</t>
  </si>
  <si>
    <t>PI pertemuan ke 4 setelah UTS (pertemuan 12)
Materi: Pemajakan passive income terlampir</t>
  </si>
  <si>
    <t>a41529cf-1068-4591-b666-9b4c32d55d9a</t>
  </si>
  <si>
    <t>https://drive.google.com/file/d/11VJInXeds-KZ4PXGFaYIs_9JNkAeeORy/view?usp=drivesdk</t>
  </si>
  <si>
    <t>TUGAS INDIVIDU:
tugas individu-12: buat resume bab 22 arens tulis tangan (maks 2 halaman folio)
Tugas individu-13: tulis tangan buku 2 dari modul 1 sd modul 8. karena kita pernah nulis modul 1-3, tar di merge aja sama modul 4-8, jadiin 1 file.
Pengumpulan: https://bit.ly/44_AKSK</t>
  </si>
  <si>
    <t>4e8dfafe-09e6-47a8-baef-b3d479d902c6</t>
  </si>
  <si>
    <t xml:space="preserve">TUGAS KELOMPOK:
- tugas kelompok-18 mereviu ICQ modul 4 
- tugas kelompok-19 mengerjakan modul 4 
Ketentuan Reviu ICQ: bagaimana potensi mistatement nya (yg jawaban kuesionernya tidak), apa kelebihan dan kelemahan pengendaliannya, apa saja langkah audit untuk cek dan uji kelebihan dan kelemahan tsb
Tambahan:
- kelompok 1 maju modul 4
Pengumpulan: https://bit.ly/44_AKSK </t>
  </si>
  <si>
    <t>f220b88f-adbc-477c-a340-c3ea33d0c986</t>
  </si>
  <si>
    <t>bc7950a7-8ea0-4925-b872-27b4c948ab42</t>
  </si>
  <si>
    <t>Tugas ADP ke 7</t>
  </si>
  <si>
    <t>🚨🚨TUGAS ANALITIKA DATA PERPAJAKAN🚨🚨
Berikut pengumuman terkait Tugas Kelompok mata kuliah Analitika Data Perpajakan:
- Tugas Ke 7 (Pertemuan 13) Data Teks, Deadline Senin, 4 Agustus 2025 23.59 WIB
Data yang dianalisis:
- Data berbentuk teks (saran pake data Putusan dari bapaknya (ada di folder pertemuan 11 dan 12)
Kerahasiaan Data:
- Jika data mengandung informasi rahasia (Nama Wajib Pajak, NPWP, dll.), wajib disamarkan untuk menjaga privasi.
Format Laporan:
a. Permasalahan
b. Eksplorasi Data
c. Pemilihan Model
d. Hasil
e. Evaluasi model
f. Interpretasi hasil
g. Kesimpulan
Format Penamaan File Tugas:
1. Data Excel: (.xlsx atau .csv) contoh: 4-4_Kelompok 1_Tugas Ke-7 Data Teks_Pertemuan 13.xlsx
02. File Orange: (.ows) contoh: 4-4_Kelompok 1_Tugas Ke-7 Data Teks_Pertemuan 13.ows
3. Laporan Hasil Analisis: (.pdf) contoh: 4-4_Kelompok 1_Tugas Ke-7 Data Teks_Pertemuan 13.pdf
(Tidak perlu di zip, langsung diupload di folder kelompok masing-masing)
📍Link Pengumpulan Tugas: [Link Pengumpulan Tugas: https://drive.google.com/open?id=1DkQP4AZWubhDITHd1ZXpblnrrWJ81G-5&amp;usp=drive_fs ]</t>
  </si>
  <si>
    <t>a3801f48-88d6-45b0-bf69-8d3b6c15c128</t>
  </si>
  <si>
    <t>Olahraga Umum</t>
  </si>
  <si>
    <t>Olahraga Umum: Lapangan A</t>
  </si>
  <si>
    <t>31e8e22d-e9c0-4afa-841e-db902859a1a4</t>
  </si>
  <si>
    <t>https://drive.google.com/file/d/1ytciiRlIS-9lctlbE1XdKwGeIlkoweuy/view?usp=drivesdk</t>
  </si>
  <si>
    <t>✨Tugas AKM II✨
1️⃣ Tugas Individu
1.⁠ ⁠Penyelesaian soal (ditulis tangan)
2.⁠ ⁠⁠Membuat Kerangka materi / infografis (ringkas dan komprehensif, dalam bentuk gambar dan kata kunci) (tulis tangan, cukup 1 halaman, boleh lebih) di buku B5 dapat melanjutkan dr buku AKM I
3. Materi tentang Akuntansi Syariah ditulis pengertiannya dan perbedaannya dengan yang konvensional, soal jawab jadinya juga ditulis ya, data soal bisa diringkas.
Utk bab 20, jawaban soal CA merupakan bagian dari ringkasan
2️⃣ Tugas Presentasi
Presensi 1 s.d. 4 (melanjutkan presentasi sebelumnya)
Presensi 5 s.d. 17 (Soal Pertemuan 14)
Perhatikan detil instruksi pengerjaan per masing-masing soal yang ada pada pdf tugas ‼️
📌 Urutan pengerjaan 
•⁠  ⁠Pokok Materi
•⁠  ⁠⁠Referensi, halaman, dan penjelasan (infografis, ringkas dan komprehensif, dalam bentuk bagan, tabel, dan kata kunci)
•⁠  ⁠⁠Soal, data singkat, subpertanyaan, jawaban (disertai data yang diperlukan, penjelasan langkah-langkah pengerjaan soal, hitungan)
•⁠  ⁠⁠Setiap subpertanyaan langsung disandingkan dengan jawaban
•⁠  ⁠⁠Jumlah slide sesedikit mungkin
📌 Format file Word atau Excel dan PPT
📌 nama file: No. Presensi_Nama Mahasiswa_No Soal_Jenis Materi
🗓️ Selasa, 5 Agustus 2025
📍 LMS dan gdrive
https://drive.google.com/drive/folders/1EfxeoDokR5GHJIEZU3oWr2AlEPJGT_L_
🤺🤺🤺🤺</t>
  </si>
  <si>
    <t>0e5eb74f-578e-4ad4-8c93-01ec39b5c887</t>
  </si>
  <si>
    <t>https://drive.google.com/file/d/1KCcLP1SxChaqin55X2f93kQFsDemZAp1/view?usp=drivesdk</t>
  </si>
  <si>
    <t xml:space="preserve">Susunlah Profil WP berdasarkan data di LMS ke dalam bentuk PPT. 
Pembagian kelompok ada di lampiran 
</t>
  </si>
  <si>
    <t>ce0242b0-33e6-4a3e-81ce-071c8261054a</t>
  </si>
  <si>
    <t>https://drive.google.com/file/d/1QAwHxz4D6Lij5ZUZ_veZbTvgw30i0itG/view?usp=drivesdk</t>
  </si>
  <si>
    <t>Upacara</t>
  </si>
  <si>
    <t xml:space="preserve">📢 PENGUMUMAN 📢
Pelaksanaan Upacara Bendera 
Senin, 4 Agustus 2025
⏰ Waktu:
Pukul 06.30 WIB
🏛Tempat: 
Lapangan A
🎙 Inspektur Upacara
Sekretaris Program Studi Diploma III Kebendaharaan Negara
👔 Dresscode:
Seragam Kuliah Senin dan Topi PKN STAN (bagi yg memiliki)
👤  Peserta Upacara:
- Mahasiswa D-III semester 4 dan 6 (termasuk BL)
- Mahasiswa S.Tr AP semester 8
Mahasiswa hadir dan siap di barisan pukul 06.15 tepat. Setiap kelas wajib mendokumentasikan, mendata kehadiran, dan melaporkan kepada UPK maksimal pada pukul 20.00 di tautan:
https://bit.ly/rekapkegiatanrutin </t>
  </si>
  <si>
    <t>a0fbf711-4fc9-4c50-83c6-1f2db63a0eb9</t>
  </si>
  <si>
    <t>https://drive.google.com/file/d/1PqdNW-z_6fyYbVl06DxLo-_OY8SxOO5e/view?usp=drivesdk</t>
  </si>
  <si>
    <t xml:space="preserve">TUGAS INDIVIDU:
- tugas individu-14: buat resume bab 23 arens tulis tangan (maks 2 halaman folio)
Pengumpulan: https://bit.ly/44_AKSK
</t>
  </si>
  <si>
    <t>d54e6eb2-2241-4fb0-8327-d9ab35004472</t>
  </si>
  <si>
    <t xml:space="preserve">TUGAS KELOMPOK:
- tugas kelompok ke-21(semua kelompok): Praktikum Audit Modul 9 + kesimpulan kewajaran audit seluruh modul
- tugas kelompok (hanya untuk Kel.4): PPT Bab 23 Arens- Penyelesaian audit
tambahan:
- kelompok 4 maju PPT Bab 23 Arens
- kelompok 5 maju modul 9 
Pengumpulan: https://bit.ly/44_AKSK
</t>
  </si>
  <si>
    <t>338c4a71-4659-423f-8ed0-aaee41ad5321</t>
  </si>
  <si>
    <t>AKSK KUIS TAKEHOME</t>
  </si>
  <si>
    <t>QUIZ TAKEHOME ke-4:
tulis tangan kesimpulan semua yg telah dipelajari
Pengumpulan: https://bit.ly/44_AKSK</t>
  </si>
  <si>
    <t>6e983473-c7c5-4ef7-ad59-a9bb8b01706b</t>
  </si>
  <si>
    <t>Belajar PI</t>
  </si>
  <si>
    <t>materi pertemuan 12 pemajakan passive income</t>
  </si>
  <si>
    <t>eb631b9c-3f79-42da-8418-8b741c51f4db</t>
  </si>
  <si>
    <t>https://drive.google.com/file/d/17he6BB_kf3dIOXOZo-HDEMs_VRXsUPkT/view?usp=drivesdk</t>
  </si>
  <si>
    <t>materi pertemuan 13 
transaksi afiliasi</t>
  </si>
  <si>
    <t>9e745bce-55b2-4392-b845-272189b5808a</t>
  </si>
  <si>
    <t>https://drive.google.com/file/d/1Zz62A4UJnBoU45gzJHUnXiDjvt96kTON/view?usp=drivesdk</t>
  </si>
  <si>
    <t>✨Tugas AKM II✨
1️⃣ Tugas Individu
•⁠  ⁠⁠Penyelesaian soal (ditulis tangan)
•⁠  ⁠⁠⁠⁠Membuat Kerangka materi / infografis
•⁠  ⁠⁠Materi tentang Akuntansi Syariah ditulis pengertiannya dan perbedaannya dengan yang konvensional, dan penyelesaian soal
•⁠  ⁠⁠TAMBAHAN‼️‼️terlampir rangkuman Akuntansi Laporan Berkelanjutan, silahkan ditulis versi lebih ringkasnya lagi di buku
Utk bab 20, jawaban soal CA merupakan bagian dari ringkasan
2️⃣ Tugas Presentasi
Presensi 6 s.d. 16 (melanjutkan presentasi sebelumnya)
Perhatikan detil instruksi pengerjaan per masing-masing soal yang ada pada pdf tugas ‼️
‼️‼️Materi Data Perusahaan Terbuka TIDAK dipresentasikan, namun nanti akan ada tugas yang akan dibagi ke semua mahasiswa melalui sharing format excel (rincian menyusul karena belum ada info lebih lanjut dari bu Asih)
🗓️ Rabu, 13 Agustus 2025
📍 LMS dan gdrive
https://drive.google.com/drive/folders/1EfxeoDokR5GHJIEZU3oWr2AlEPJGT_L_
🤺🤺🤺🤺</t>
  </si>
  <si>
    <t>c254370f-a29f-45a9-a11b-cd024bb373d8</t>
  </si>
  <si>
    <t>https://drive.google.com/file/d/1fW4pOENHJa9DE1h1owU2upT1Tmuk9-R3/view?usp=drivesdk</t>
  </si>
  <si>
    <t xml:space="preserve">PI presentasi kelompok </t>
  </si>
  <si>
    <t>business profit in digital economy
yg lain bisa baca2 yaa, terima kasih</t>
  </si>
  <si>
    <t>02637d1f-1f7c-4ca6-8284-90f7ce44270d</t>
  </si>
  <si>
    <t>https://drive.google.com/file/d/1GJ02O-irId9AQkt2rX7RK3jZp1bcK5f1/view?usp=drivesdk</t>
  </si>
  <si>
    <t>PI presentasi kelompok</t>
  </si>
  <si>
    <t>ketentuan khusus dan pencegahan penyalahgunaan P3B
yg lain bisa baca2 yaa, terima kasih</t>
  </si>
  <si>
    <t>e8aaf6e4-4387-4471-becc-d1bab1037e58</t>
  </si>
  <si>
    <t>https://drive.google.com/file/d/1KNl1vAkOvmfz7d4I5OzKwrX4FzKswPZw/view?usp=drivesdk</t>
  </si>
  <si>
    <t>PI makalah pertemuan akhir</t>
  </si>
  <si>
    <t>Membuat makalah Pajak Internasional atau publish jurnal PI atau ikut lomba &amp; juara karya tulis Pajak Internasional.
📌 Paper PI📌
1. Latar belakang
2. Landasan teori
3. Metodologi penelitian
4. Pembahasan
5. Kesimpulan
* Jumlah halaman 7-10 hlm
* penilaian paper dinilai dari isinya
* submit di LMS
untuk pertemuan akhir, selasa/rabu, jadi siapin aja ya, semoga lancar</t>
  </si>
  <si>
    <t>bef94eff-ed03-45bb-a368-5b951fca1bb6</t>
  </si>
  <si>
    <t>Pengasuhan dan Bimbingan Akademik</t>
  </si>
  <si>
    <t>Pengasuhan 3, Pengasuhan 4, dan Bimbingan Akademik
Rabu, 13 Agustus 2025
10.30 WIB s.d. selesai
I 301</t>
  </si>
  <si>
    <t>e89ecfdf-4d17-4efe-a19d-2af052260994</t>
  </si>
  <si>
    <t>Tugas ADP ke 8 (LAST)</t>
  </si>
  <si>
    <t>🚨🚨TUGAS ANALITIKA DATA PERPAJAKAN🚨🚨
Berikut pengumuman terkait Tugas Kelompok mata kuliah Analitika Data Perpajakan:
- Tugas Ke 8 (Pertemuan 15) Network Analysis, Deadline Senin, 18 Agustus 2025 23.59 WIB
Data bisa menggunakan file yang terdapat pada folder "Data-PR" (https://drive.google.com/drive/folders/1JxelMvrjX2I42yfFkru_XHWplTEG-CUl?usp=drive_link) atau boleh menggunakan data lain yang relevan. 
"Tidak ada contoh laporan tugas yang layak diikuti dari angkatan sebelumnya.
Ketentuan"
Buat Grafik jaringan sedemikian rupa sehingga gambarnya mudah untuk dibaca dan dimengerti.
Gunakan Filters untuk mengeliminasi node-node yang tidak memegang peranan penting pada grafik jaringan secara keseluruhan.
Intepretasi jaringan yang dihasilkan berdasarkan statistik/metrik yang diperoleh dan diperbolehkan menggunakan ChatGPT untuk melakukan interpretasi.
Format Laporan:
a. Permasalahan
b. Eksplorasi Data
c. Pemilihan Model
d. Hasil
e. Evaluasi model
f. Interpretasi hasil
g. Kesimpulan
Format Penamaan File Tugas:
1. Data Excel: (.xlsx atau .csv) contoh: 4-4_Kelompok 1_Tugas Ke-8 Network Analysis_Pertemuan 15.xlsx
02. File Gephi: (.gephi) contoh: 4-4_Kelompok 1_Tugas Ke-8 Network Analysis_Pertemuan 15.gephi
3. Laporan Hasil Analisis: (.pdf) contoh: 4-4_Kelompok 1_Tugas Ke-8 Network Analysis_Pertemuan 15.pdf
(Tidak perlu di zip, langsung diupload di folder kelompok masing-masing)
Jika ada yang bingung, sama, saya juga bingung
📍Link Pengumpulan Tugas: [Link Pengumpulan Tugas: https://drive.google.com/open?id=1DkQP4AZWubhDITHd1ZXpblnrrWJ81G-5&amp;usp=drive_fs ]</t>
  </si>
  <si>
    <t>56ac501b-0013-4bda-b221-2dafd718012a</t>
  </si>
  <si>
    <t>tes</t>
  </si>
  <si>
    <t>asfsfsfdsf</t>
  </si>
  <si>
    <t>dc1ccb70-ebc8-4930-a562-11d88e86d81d</t>
  </si>
  <si>
    <t>https://drive.google.com/file/d/10_Ny-99g72xS1SSwJIe_EnVcPsEIizTR/view?usp=drivesdk</t>
  </si>
  <si>
    <t>Kelas 3-04</t>
  </si>
  <si>
    <t>No</t>
  </si>
  <si>
    <t>NIM</t>
  </si>
  <si>
    <t>Nama</t>
  </si>
  <si>
    <t>ultah tahun ini</t>
  </si>
  <si>
    <t>Nama Kos</t>
  </si>
  <si>
    <t>Alamat Kos/Kontrakan/Apartemen/Mansion/Villa</t>
  </si>
  <si>
    <t>Nomor Kontak Darurat (Orangtua)</t>
  </si>
  <si>
    <t>Nomor ibu/bapak kos</t>
  </si>
  <si>
    <t>ANNISA FADILLAH HERNAWAN</t>
  </si>
  <si>
    <t>ARRAZ MEIDYAN</t>
  </si>
  <si>
    <t>rumah</t>
  </si>
  <si>
    <t>Jl Raden Sanim No. 12, Tanah Baru, Beji, Depok</t>
  </si>
  <si>
    <t>082111642266</t>
  </si>
  <si>
    <t>-</t>
  </si>
  <si>
    <t>AYU MITHA VALLENTYA</t>
  </si>
  <si>
    <t>Cozy Kost</t>
  </si>
  <si>
    <t>Jl Cenderawasih I Blok A20 No 12 RT 003 RW 007, PJMI, Jurangmangu Timur, Pondok Aren</t>
  </si>
  <si>
    <t>6285328734784</t>
  </si>
  <si>
    <t>087734859914</t>
  </si>
  <si>
    <t>Kos Nada</t>
  </si>
  <si>
    <t>Komplek Griya Soegi No. 3A (rumah paling ujung sebelah kiri), Jurangmangu Timur, Pondok Aren, Tangsel</t>
  </si>
  <si>
    <t>FELITA DELVIANA YOGYANTORO</t>
  </si>
  <si>
    <t>GIDEON HAMONANGAN SIMANJUNTAK</t>
  </si>
  <si>
    <t>INDAH BASUKI SETIA INDRA</t>
  </si>
  <si>
    <t>MARTIN FELIX SIREGAR</t>
  </si>
  <si>
    <t>Griya Soegi</t>
  </si>
  <si>
    <t>Jl. Kalimangso No.129, Jurang Manggu Tim., Kec. Pd. Aren, Kota Tangerang Selatan, Banten 15222</t>
  </si>
  <si>
    <t>MUHAMMAD HUSNI TAMRIN</t>
  </si>
  <si>
    <t>MUKHLIS AHMAD ARIFIN</t>
  </si>
  <si>
    <t>Kos Bu Icah Suhendi</t>
  </si>
  <si>
    <t>Jalan Semen D2/15 Pondok Jaya</t>
  </si>
  <si>
    <t>6289626394007</t>
  </si>
  <si>
    <t>6289663934015</t>
  </si>
  <si>
    <t>NIDIA MUSTIKA SAPUTRA</t>
  </si>
  <si>
    <t>Kos PJMI</t>
  </si>
  <si>
    <t>Jl. Pesut Raya Blok A7 No.2, Jurang Manggu Tim., Kec. Pd. Aren, Kota Tangerang Selatan, Banten 15222</t>
  </si>
  <si>
    <t>081335247868</t>
  </si>
  <si>
    <t>RAHMAT RAMADHAN</t>
  </si>
  <si>
    <t>Kost De'Kat STAN</t>
  </si>
  <si>
    <t>Jl. H. Sarmili No.41a, Jurang Manggu Tim., Kec. Pd. Aren, Kota Tangerang Selatan, Banten 15222</t>
  </si>
  <si>
    <t>ROBERTUS KLEMENS NOVIARTHA</t>
  </si>
  <si>
    <t>RUTH NOVITA MARTINA</t>
  </si>
  <si>
    <t>Kost Putri Rania</t>
  </si>
  <si>
    <t>Jln Murai no A31/14 Pondok Jurang Mangu Indah (PJMI) Bintaro, Pondok Aren, 15222, Tangerang Selatan</t>
  </si>
  <si>
    <t>085156821563</t>
  </si>
  <si>
    <t>085867710995</t>
  </si>
  <si>
    <t>SHAFA INANTRI AWENANG KHARISA</t>
  </si>
  <si>
    <t>081392000800</t>
  </si>
  <si>
    <t>TIARA MORREN TAMPUBOLON</t>
  </si>
  <si>
    <t>UMUL MUTHΜΑΙΝΑΗ</t>
  </si>
  <si>
    <t>Kos Pak Slamet</t>
  </si>
  <si>
    <t>Jl. Makadam Blok E4 No.14, Pondok jaya</t>
  </si>
  <si>
    <t>WAHYU NURSYAM PUTRA PRATAMA</t>
  </si>
  <si>
    <t>Rania Kos</t>
  </si>
  <si>
    <t>085382849800</t>
  </si>
  <si>
    <t>ZAHARA AFRA AL HAMBRA</t>
  </si>
  <si>
    <t>The Mahanipuna 90</t>
  </si>
  <si>
    <t>Jl. Gapura Menteng No.90, Pd. Ranji, Kec. Ciputat Tim., Kota Tangerang Selatan, Banten 15412</t>
  </si>
  <si>
    <t>Kost Beton</t>
  </si>
  <si>
    <t>Perumahan Pondok Jaya, Jl Beton Blok C1 No 1, Pondok Ranji Ciputat Timur, Tangerang Selatan</t>
  </si>
  <si>
    <t>085713108408</t>
  </si>
  <si>
    <t>087719659073</t>
  </si>
  <si>
    <t>almadinaoelien@gmail.com</t>
  </si>
  <si>
    <t>AKSES_WEB_APP</t>
  </si>
  <si>
    <t>Parameter: {}, Pengguna (jika ada): Tidak ada info pengguna event</t>
  </si>
  <si>
    <t>TAMBAH_AGENDA_SUKSES</t>
  </si>
  <si>
    <t>Nama: pajak interdimensional, Deadline: 15/5/2025, RowID: 07309db1-ec88-4444-8cc4-39f251aee72a</t>
  </si>
  <si>
    <t>Nama: Ulang tahun AHMAD NUR WAKHID, Deadline: 20/5/2025, RowID: ULTAH_AHMADNURWAKHID_2025</t>
  </si>
  <si>
    <t>Nama: Ulang tahun ANISA FATMANINGTYAS, Deadline: 23/8/2025, RowID: ULTAH_ANISAFATMANINGTYAS_2025</t>
  </si>
  <si>
    <t>Nama: Ulang tahun ANNISA FADILLAH HERNAWAN, Deadline: 24/3/2025, RowID: ULTAH_ANNISAFADILLAHHERNAWAN_2025</t>
  </si>
  <si>
    <t>Nama: Ulang tahun ARRAZ MEIDYAN, Deadline: 24/5/2025, RowID: ULTAH_ARRAZMEIDYAN_2025</t>
  </si>
  <si>
    <t>Nama: Ulang tahun AYU MITHA VALLENTYA, Deadline: 23/11/2025, RowID: ULTAH_AYUMITHAVALLENTYA_2025</t>
  </si>
  <si>
    <t>Nama: Ulang tahun DEA LESTI BRIANA, Deadline: 1/9/2025, RowID: ULTAH_DEALESTIBRIANA_2025</t>
  </si>
  <si>
    <t>Nama: Ulang tahun EKA ADHIKARA RAHIM, Deadline: 22/7/2025, RowID: ULTAH_EKAADHIKARARAHIM_2025</t>
  </si>
  <si>
    <t>Nama: Ulang tahun EVI SETYANINGSIH, Deadline: 5/11/2025, RowID: ULTAH_EVISETYANINGSIH_2025</t>
  </si>
  <si>
    <t>Nama: Ulang tahun FELITA DELVIANA YOGYANTORO, Deadline: 26/2/2025, RowID: ULTAH_FELITADELVIANAYOGYANTORO_2025</t>
  </si>
  <si>
    <t>Nama: Ulang tahun GIDEON HAMONANGAN SIMANJUNTAK, Deadline: 7/5/2025, RowID: ULTAH_GIDEONHAMONANGANSIMANJUNTAK_2025</t>
  </si>
  <si>
    <t>Nama: Ulang tahun INDAH BASUKI SETIA INDRA, Deadline: 30/5/2025, RowID: ULTAH_INDAHBASUKISETIAINDRA_2025</t>
  </si>
  <si>
    <t>Nama: Ulang tahun MARTIN FELIX SIREGAR, Deadline: 2/6/2025, RowID: ULTAH_MARTINFELIXSIREGAR_2025</t>
  </si>
  <si>
    <t>Nama: Ulang tahun MELLANIA PUTRI RATNAWATI, Deadline: 23/7/2025, RowID: ULTAH_MELLANIAPUTRIRATNAWATI_2025</t>
  </si>
  <si>
    <t>Nama: Ulang tahun MUHAMMAD HUSNI TAMRIN, Deadline: 13/9/2025, RowID: ULTAH_MUHAMMADHUSNITAMRIN_2025</t>
  </si>
  <si>
    <t>Nama: Ulang tahun MUKHLIS AHMAD ARIFIN, Deadline: 7/7/2025, RowID: ULTAH_MUKHLISAHMADARIFIN_2025</t>
  </si>
  <si>
    <t>Nama: Ulang tahun NIDIA MUSTIKA SAPUTRA, Deadline: 27/2/2025, RowID: ULTAH_NIDIAMUSTIKASAPUTRA_2025</t>
  </si>
  <si>
    <t>Nama: Ulang tahun QURROTU A'YUMINA, Deadline: 13/11/2025, RowID: ULTAH_QURROTUA'YUMINA_2025</t>
  </si>
  <si>
    <t>Nama: Ulang tahun RAHMAT RAMADHAN, Deadline: 14/12/2025, RowID: ULTAH_RAHMATRAMADHAN_2025</t>
  </si>
  <si>
    <t>Nama: Ulang tahun ROBERTUS KLEMENS NOVIARTHA, Deadline: 23/11/2025, RowID: ULTAH_ROBERTUSKLEMENSNOVIARTHA_2025</t>
  </si>
  <si>
    <t>Nama: Ulang tahun RUTH NOVITA MARTINA, Deadline: 1/3/2025, RowID: ULTAH_RUTHNOVITAMARTINA_2025</t>
  </si>
  <si>
    <t>Nama: Ulang tahun SHAFA INANTRI AWENANG KHARISA, Deadline: 12/8/2025, RowID: ULTAH_SHAFAINANTRIAWENANGKHARISA_2025</t>
  </si>
  <si>
    <t>Nama: Ulang tahun TIARA MORREN TAMPUBOLON, Deadline: 18/5/2025, RowID: ULTAH_TIARAMORRENTAMPUBOLON_2025</t>
  </si>
  <si>
    <t>Nama: Ulang tahun UMUL MUTHΜΑΙΝΑΗ, Deadline: 22/3/2025, RowID: ULTAH_UMULMUTHΜΑΙΝΑΗ_2025</t>
  </si>
  <si>
    <t>Nama: Ulang tahun WAHYU NURSYAM PUTRA PRATAMA, Deadline: 17/5/2025, RowID: ULTAH_WAHYUNURSYAMPUTRAPRATAMA_2025</t>
  </si>
  <si>
    <t>Nama: Ulang tahun YOHANA ESTERINDAH SIMANJUNTAK, Deadline: 4/1/2025, RowID: ULTAH_YOHANAESTERINDAHSIMANJUNTAK_2025</t>
  </si>
  <si>
    <t>Nama: Ulang tahun ZAHARA AFRA AL HAMBRA, Deadline: 5/11/2025, RowID: ULTAH_ZAHARAAFRAALHAMBRA_2025</t>
  </si>
  <si>
    <t>Nama: Ulang tahun ZETA TALADZUL AYUN, Deadline: 7/1/2025, RowID: ULTAH_ZETATALADZULAYUN_2025</t>
  </si>
  <si>
    <t>BUAT_ULTAH_SELESAI</t>
  </si>
  <si>
    <t>27 pengingat ultah baru dibuat. 0 sudah ada. Tahun: 2025</t>
  </si>
  <si>
    <t>27 pengingat ultah baru berhasil dibuat. 0 pengingat sudah ada sebelumnya. Tahun: 2025</t>
  </si>
  <si>
    <t>HAPUS_AGENDA_SUKSES</t>
  </si>
  <si>
    <t>Nama: hari sama lagi, RowID: c2d5d11a-fd9d-4acf-a9b8-7318f58752ff</t>
  </si>
  <si>
    <t>Nama: tessss, RowID: 13b62b72-dc20-4c9e-a10c-33f5e80e89cf</t>
  </si>
  <si>
    <t>NO</t>
  </si>
  <si>
    <t>NO. BPS</t>
  </si>
  <si>
    <t>NAMA</t>
  </si>
  <si>
    <t>NIP</t>
  </si>
  <si>
    <t>PROGRAM STUDI</t>
  </si>
  <si>
    <t>JADWAL DAFTAR ULANG TANGGAL</t>
  </si>
  <si>
    <t>JADWAL DAFTAR ULANG SESI</t>
  </si>
  <si>
    <t>tahun</t>
  </si>
  <si>
    <t>bulan</t>
  </si>
  <si>
    <t>tanggal</t>
  </si>
  <si>
    <t>tanggal lahir</t>
  </si>
  <si>
    <t>ultah thn ini</t>
  </si>
  <si>
    <t>ADITYO DWI WICAKSONO</t>
  </si>
  <si>
    <t>200004102019121003</t>
  </si>
  <si>
    <t>DIII AKUNTANSI</t>
  </si>
  <si>
    <t>AFFAN RAFI ARDIANSYAH</t>
  </si>
  <si>
    <t>200007132019121001</t>
  </si>
  <si>
    <t>AHMAD SAEFULAH FATAH FAUZI</t>
  </si>
  <si>
    <t>200002252019121001</t>
  </si>
  <si>
    <t>AINUN FATIHAH SALSABILA</t>
  </si>
  <si>
    <t>200004202019122001</t>
  </si>
  <si>
    <t>AMINATUS ZUHRIA</t>
  </si>
  <si>
    <t>200005292019122004</t>
  </si>
  <si>
    <t>ANDI STARLA AZALIA ARDITA PUTRI</t>
  </si>
  <si>
    <t>200002072019122001</t>
  </si>
  <si>
    <t>ANDREA MASE CORONΑΤΑΜΑ</t>
  </si>
  <si>
    <t>199911292019122001</t>
  </si>
  <si>
    <t>ANISA LUTHFIAH ARDA</t>
  </si>
  <si>
    <t>200003232019122003</t>
  </si>
  <si>
    <t>DIJL AKUNTANSI</t>
  </si>
  <si>
    <t>ARDIKA NURANDA</t>
  </si>
  <si>
    <t>200005212019121001</t>
  </si>
  <si>
    <t>AULYA WINDI AMIRA SHABRINA</t>
  </si>
  <si>
    <t>200004272019122002</t>
  </si>
  <si>
    <t>AYU ANANDA PONGKAPADANG</t>
  </si>
  <si>
    <t>200009262019122002</t>
  </si>
  <si>
    <t>BRILLIAN AURIGA RELIGIO</t>
  </si>
  <si>
    <t>200106172019121001</t>
  </si>
  <si>
    <t>DIJI AKUNTANSI</t>
  </si>
  <si>
    <t>DANU EGA PUTRA RAMADHAN</t>
  </si>
  <si>
    <t>199912072018121001</t>
  </si>
  <si>
    <t>DEBBY RUTH DAMAYANTI VERINA PAKPAHAN</t>
  </si>
  <si>
    <t>200010202019122001</t>
  </si>
  <si>
    <t>DELIA NURSYAFITRI</t>
  </si>
  <si>
    <t>199911152019122003</t>
  </si>
  <si>
    <t>DINI HILU SYADZWINA</t>
  </si>
  <si>
    <t>200101192019122002</t>
  </si>
  <si>
    <t>DWI APRILYANTO</t>
  </si>
  <si>
    <t>200004212019121002</t>
  </si>
  <si>
    <t>ELOK RISMA MILENIA</t>
  </si>
  <si>
    <t>200001182019122001</t>
  </si>
  <si>
    <t>GUSTINA ARFAH SIREGAR</t>
  </si>
  <si>
    <t>200008062018122001</t>
  </si>
  <si>
    <t>I PUTU YUDHA DHARMA KUSUMA</t>
  </si>
  <si>
    <t>199912192018121003</t>
  </si>
  <si>
    <t>IMALA ISLAM MADANIA</t>
  </si>
  <si>
    <t>200003182019122004</t>
  </si>
  <si>
    <t>KARL ROMANIXGE SIMANJUNTAK</t>
  </si>
  <si>
    <t>199912212018121001</t>
  </si>
  <si>
    <t>KARTIKA DEWI SAPUTRI</t>
  </si>
  <si>
    <t>200004222019122003</t>
  </si>
  <si>
    <t>LINGGAR NOVINKA SURYANI PUTRI</t>
  </si>
  <si>
    <t>200011282021012001</t>
  </si>
  <si>
    <t>LOLITA WIDYASTI</t>
  </si>
  <si>
    <t>200001312019122002</t>
  </si>
  <si>
    <t>MEISITOH LESTA HUSNIAWATI</t>
  </si>
  <si>
    <t>200005232019122002</t>
  </si>
  <si>
    <t>MICHAEL YUDA TANDISAPAN</t>
  </si>
  <si>
    <t>200109292021011001</t>
  </si>
  <si>
    <t>MUH. FADHIL ISMANDA</t>
  </si>
  <si>
    <t>200004082019121001</t>
  </si>
  <si>
    <t>MUHAMAD AZKA AMANY</t>
  </si>
  <si>
    <t>199910222019121003</t>
  </si>
  <si>
    <t>MUHAMMAD FARHAN</t>
  </si>
  <si>
    <t>200006172019121003</t>
  </si>
  <si>
    <t>MUHAMMAD KHARISMA AGUNG ADIASATRI</t>
  </si>
  <si>
    <t>200001082019121001</t>
  </si>
  <si>
    <t>MUHAMMAD WILDAN RIFQI</t>
  </si>
  <si>
    <t>200105302021011001</t>
  </si>
  <si>
    <t>MUTIARA MAHARANI</t>
  </si>
  <si>
    <t>200007182018122001</t>
  </si>
  <si>
    <t>NAOMI KRISTIA SILALAHI</t>
  </si>
  <si>
    <t>200011052019122004</t>
  </si>
  <si>
    <t>NICHITA SHINTA FEBRIANY</t>
  </si>
  <si>
    <t>200002012018122002</t>
  </si>
  <si>
    <t>NICKYTHA NASACHI</t>
  </si>
  <si>
    <t>200002042019122003</t>
  </si>
  <si>
    <t>NURLIANA RAHMAWATI</t>
  </si>
  <si>
    <t>200008202018122002</t>
  </si>
  <si>
    <t>NURUL ISMIHERIZA</t>
  </si>
  <si>
    <t>200004092019122003</t>
  </si>
  <si>
    <t>NYIMAS SUCI CLAUDIA ZALFA</t>
  </si>
  <si>
    <t>200105252019122001</t>
  </si>
  <si>
    <t>PANJI ARIF BAGASKARA</t>
  </si>
  <si>
    <t>200004262019121001</t>
  </si>
  <si>
    <t>REMBRANDT KURNIA</t>
  </si>
  <si>
    <t>200106302021011001</t>
  </si>
  <si>
    <t>RIMA SAFITRI ANGGRAENI</t>
  </si>
  <si>
    <t>200001092019122001</t>
  </si>
  <si>
    <t>RISHARDI</t>
  </si>
  <si>
    <t>200002202019121001</t>
  </si>
  <si>
    <t>RIZKA FEBRIANTI</t>
  </si>
  <si>
    <t>200102252019122001</t>
  </si>
  <si>
    <t>RTS. MAISYA NAMIRA</t>
  </si>
  <si>
    <t>200010182018122001</t>
  </si>
  <si>
    <t>SAGITA AMILIA</t>
  </si>
  <si>
    <t>200003312019122002</t>
  </si>
  <si>
    <t>SANIA ZELVIRA</t>
  </si>
  <si>
    <t>200001062019122001</t>
  </si>
  <si>
    <t>SHAFIRA ASHA SAMEKΤΑ</t>
  </si>
  <si>
    <t>199911282019122002</t>
  </si>
  <si>
    <t>SYIFA TANIA KHOIRUNISA</t>
  </si>
  <si>
    <t>200104252019122001</t>
  </si>
  <si>
    <t>TALITHA AYU NISWARA</t>
  </si>
  <si>
    <t>199912202021012002</t>
  </si>
  <si>
    <t>TITO MUHAMMAD H.S</t>
  </si>
  <si>
    <t>199912292018121002</t>
  </si>
  <si>
    <t>YASHINTA OKTAVIA WULANSARI</t>
  </si>
  <si>
    <t>200010242019122004</t>
  </si>
  <si>
    <t>YEHEZKIEL GALANG PUTRA SIMANGUNSONG</t>
  </si>
  <si>
    <t>200010122019121001</t>
  </si>
  <si>
    <t>YORI YUNTA</t>
  </si>
  <si>
    <t>199911132019121004</t>
  </si>
  <si>
    <t>ALFIAN BAYU KRISNA MUKTI</t>
  </si>
  <si>
    <t>199910282019121001</t>
  </si>
  <si>
    <t>DIII KEBENDAHARAAN NEGARA</t>
  </si>
  <si>
    <t>ANGGREANY TARIDA R. SIMANJUNTAK</t>
  </si>
  <si>
    <t>200007112019122004</t>
  </si>
  <si>
    <t>ANNISA PUTRI CARINA</t>
  </si>
  <si>
    <t>200102202019122001</t>
  </si>
  <si>
    <t>DHIFA NUR FADHILAH</t>
  </si>
  <si>
    <t>200003172019122001</t>
  </si>
  <si>
    <t>EISA SILVANTI</t>
  </si>
  <si>
    <t>200002282019122001</t>
  </si>
  <si>
    <t>GRACIA HINENI PAIDEVO SINURAT</t>
  </si>
  <si>
    <t>200006222019122002</t>
  </si>
  <si>
    <t>ICHSANUL HAKIM</t>
  </si>
  <si>
    <t>200104012019121001</t>
  </si>
  <si>
    <t>IKVIE NAYLIN NAJA</t>
  </si>
  <si>
    <t>200003292021012002</t>
  </si>
  <si>
    <t>ISNAWATI NUGRAHENI</t>
  </si>
  <si>
    <t>200010272019122002</t>
  </si>
  <si>
    <t>IVANA OKTA ADIARINI</t>
  </si>
  <si>
    <t>199910242018122001</t>
  </si>
  <si>
    <t>LINTANG HANINDYA CHARMINGGADEVI</t>
  </si>
  <si>
    <t>200002062019122001</t>
  </si>
  <si>
    <t>LISA PUTRI APRILYA</t>
  </si>
  <si>
    <t>200004242019122002</t>
  </si>
  <si>
    <t>MIRZA NURULLITA</t>
  </si>
  <si>
    <t>199911082021012002</t>
  </si>
  <si>
    <t>MUHAMMAD DAFFA HERALDY</t>
  </si>
  <si>
    <t>200003282019121003</t>
  </si>
  <si>
    <t>NI PUTU DIAN PERDANA PUTRI</t>
  </si>
  <si>
    <t>200009112019122001</t>
  </si>
  <si>
    <t>NICOLAY VALTY YOSHUA</t>
  </si>
  <si>
    <t>200010152019121002</t>
  </si>
  <si>
    <t>NURUL HIDAYAH</t>
  </si>
  <si>
    <t>200003012019122001</t>
  </si>
  <si>
    <t>RIDWAN PRAMUDYA</t>
  </si>
  <si>
    <t>200107062019121001</t>
  </si>
  <si>
    <t>WIDA HAFIZAH</t>
  </si>
  <si>
    <t>200008142019122001</t>
  </si>
  <si>
    <t>WINDA MAYESTY</t>
  </si>
  <si>
    <t>200005232019122001</t>
  </si>
  <si>
    <t>BIMA KISNA PANGESTU</t>
  </si>
  <si>
    <t>200010092019121001</t>
  </si>
  <si>
    <t>DIII KEPABEANAN DAN CUKAI</t>
  </si>
  <si>
    <t>FITRIANA DEWIANDARU</t>
  </si>
  <si>
    <t>200001052019122001</t>
  </si>
  <si>
    <t>GHOZIAN SINGGIH THORTIN</t>
  </si>
  <si>
    <t>200112292021011001</t>
  </si>
  <si>
    <t>LEONARDO IRAWAN PERDANA</t>
  </si>
  <si>
    <t>200008172019121001</t>
  </si>
  <si>
    <t>LINADA INDRASWARI SUPRAPTO</t>
  </si>
  <si>
    <t>200010192019122001</t>
  </si>
  <si>
    <t>MUHAMAD ALVI SILMI VAJRIN</t>
  </si>
  <si>
    <t>200107082019121001</t>
  </si>
  <si>
    <t>RIZKY SURYA HAMMAMI</t>
  </si>
  <si>
    <t>200007062019121001</t>
  </si>
  <si>
    <t>RIZQY PUTRANTO</t>
  </si>
  <si>
    <t>200011122019121001</t>
  </si>
  <si>
    <t>SHAVIRA DEVI KUSUMA</t>
  </si>
  <si>
    <t>200110062021012001</t>
  </si>
  <si>
    <t>VALENTINO AUSTIN</t>
  </si>
  <si>
    <t>200008072019121001</t>
  </si>
  <si>
    <t>ANNISA LUTFIAH</t>
  </si>
  <si>
    <t>200102022019122001</t>
  </si>
  <si>
    <t>DIII MANAJEMEN ASET</t>
  </si>
  <si>
    <t>ARGA JONATHAN HASIOLAN MANURUNG</t>
  </si>
  <si>
    <t>199910142019121001</t>
  </si>
  <si>
    <t>DINDA ZHAFIRAH ADIYANTI</t>
  </si>
  <si>
    <t>200003092019122002</t>
  </si>
  <si>
    <t>LIRVA PUTRI MARIA HASIHOLAN SIALLAGAN</t>
  </si>
  <si>
    <t>200004102019122001</t>
  </si>
  <si>
    <t>M.RIZAL ANDREANO</t>
  </si>
  <si>
    <t>200202052021011001</t>
  </si>
  <si>
    <t>MUHAMMAD ARI AFANDI</t>
  </si>
  <si>
    <t>200009172021011001</t>
  </si>
  <si>
    <t>MUHAMMAD BAYANULLOH</t>
  </si>
  <si>
    <t>200011252021011001</t>
  </si>
  <si>
    <t>NAFRIZA NURUL RAHMΑΝ</t>
  </si>
  <si>
    <t>200109282021012001</t>
  </si>
  <si>
    <t>NURHIDAYAH ANGGRAINA</t>
  </si>
  <si>
    <t>200103072021012001</t>
  </si>
  <si>
    <t>PAUL TAPAR</t>
  </si>
  <si>
    <t>200106162021011001</t>
  </si>
  <si>
    <t>PETRA H. TOGATOROP</t>
  </si>
  <si>
    <t>200005222019121001</t>
  </si>
  <si>
    <t>RIZKY IMADDUDIN</t>
  </si>
  <si>
    <t>200003112021011002</t>
  </si>
  <si>
    <t>SABRINA KAMILA FAODAN</t>
  </si>
  <si>
    <t>200101202019122001</t>
  </si>
  <si>
    <t>SANDYNA RETNO PUTRI PANJAITAN</t>
  </si>
  <si>
    <t>200010292019122003</t>
  </si>
  <si>
    <t>ADE AZKA THARRAGHITHA</t>
  </si>
  <si>
    <t>200011172019122001</t>
  </si>
  <si>
    <t>DIII PAJAK</t>
  </si>
  <si>
    <t>ADELIA DWI PUTRI</t>
  </si>
  <si>
    <t>200008112019122002</t>
  </si>
  <si>
    <t>ADISETYO SUKSMA DEWANTO</t>
  </si>
  <si>
    <t>200004152019121003</t>
  </si>
  <si>
    <t>AHIMSA ABDUSSALAM</t>
  </si>
  <si>
    <t>200007102019121005</t>
  </si>
  <si>
    <t>AHMAD BAYHAQI</t>
  </si>
  <si>
    <t>200105032019121001</t>
  </si>
  <si>
    <t>200005202019121002</t>
  </si>
  <si>
    <t>AJI MUHAMAD RESTU</t>
  </si>
  <si>
    <t>199912122021011001</t>
  </si>
  <si>
    <t>ALDY HENDRAWAN</t>
  </si>
  <si>
    <t>200006172019121002</t>
  </si>
  <si>
    <t>ALYZA KHAIRUNISA</t>
  </si>
  <si>
    <t>200004102019122004</t>
  </si>
  <si>
    <t>200008232019122001</t>
  </si>
  <si>
    <t>DIJI PAJAK</t>
  </si>
  <si>
    <t>ANISA ROBBI RODHIYA</t>
  </si>
  <si>
    <t>200005252019122001</t>
  </si>
  <si>
    <t>ANJAR SETYANİ</t>
  </si>
  <si>
    <t>200002232019122002</t>
  </si>
  <si>
    <t>ANNISA ERLIANA</t>
  </si>
  <si>
    <t>200008252019122003</t>
  </si>
  <si>
    <t>200003242019122001</t>
  </si>
  <si>
    <t>ANNISA SALSABILA</t>
  </si>
  <si>
    <t>200102022019122002</t>
  </si>
  <si>
    <t>ANNISAA DYAH WULANDARI</t>
  </si>
  <si>
    <t>200101092019122003</t>
  </si>
  <si>
    <t>APRILLIA ARIESSELA</t>
  </si>
  <si>
    <t>200004112019122004</t>
  </si>
  <si>
    <t>AQSAL WIMA RAFLISYAH</t>
  </si>
  <si>
    <t>200008042018121001</t>
  </si>
  <si>
    <t>200005242019121002</t>
  </si>
  <si>
    <t>ARRY EFEN NIKOLAS KASSE</t>
  </si>
  <si>
    <t>200006052021011001</t>
  </si>
  <si>
    <t>ASIDO EVANDER</t>
  </si>
  <si>
    <t>199910142019121003</t>
  </si>
  <si>
    <t>199911232019122003</t>
  </si>
  <si>
    <t>AYYUB</t>
  </si>
  <si>
    <t>200002062021011001</t>
  </si>
  <si>
    <t>BARLIANAZZAHRA PUTRI ANDARI</t>
  </si>
  <si>
    <t>200007242019122004</t>
  </si>
  <si>
    <t>CHOLISATUL MARDLIYAH</t>
  </si>
  <si>
    <t>199911022019122002</t>
  </si>
  <si>
    <t>DIIL PAJAK</t>
  </si>
  <si>
    <t>DEA JANISYA SETYARJI</t>
  </si>
  <si>
    <t>200101022019122002</t>
  </si>
  <si>
    <t>200009012019122001</t>
  </si>
  <si>
    <t>DEZHA NUN AURELLIA</t>
  </si>
  <si>
    <t>199912102021012002</t>
  </si>
  <si>
    <t>DIAH AJI WULANDARI</t>
  </si>
  <si>
    <t>200108282021012001</t>
  </si>
  <si>
    <t>DYAH FATHIMATUZ ZAHRO</t>
  </si>
  <si>
    <t>200005302019122005</t>
  </si>
  <si>
    <t>200007222021011001</t>
  </si>
  <si>
    <t>EKO SRI HARDIANTO</t>
  </si>
  <si>
    <t>200012302019121001</t>
  </si>
  <si>
    <t>200011052019122002</t>
  </si>
  <si>
    <t>FADILA AMNI RACHMANIA</t>
  </si>
  <si>
    <t>200003182019122005</t>
  </si>
  <si>
    <t>FAHIMA ADDIENA SABILA</t>
  </si>
  <si>
    <t>200004232019122002</t>
  </si>
  <si>
    <t>FARAH AYU SALSABILA</t>
  </si>
  <si>
    <t>200103152019122001</t>
  </si>
  <si>
    <t>200102262019122002</t>
  </si>
  <si>
    <t>FIRDAN MUKHTAR WAHDAH</t>
  </si>
  <si>
    <t>200002032019121003</t>
  </si>
  <si>
    <t>FRIESDANIKA YOSYANNY RIEZKY SAFAKUM</t>
  </si>
  <si>
    <t>199911202019122001</t>
  </si>
  <si>
    <t>GARDAYUDA SAIFUL HAQ</t>
  </si>
  <si>
    <t>200011292021011001</t>
  </si>
  <si>
    <t>200005072019121004</t>
  </si>
  <si>
    <t>IKA YUDYANTARI</t>
  </si>
  <si>
    <t>200105082019122001</t>
  </si>
  <si>
    <t>INDAH AFRIANI SIPAYUNG</t>
  </si>
  <si>
    <t>200004162019122001</t>
  </si>
  <si>
    <t>200005302019122004</t>
  </si>
  <si>
    <t>DIJL PAJAK</t>
  </si>
  <si>
    <t>IVA ROIKHATUL JANNAH</t>
  </si>
  <si>
    <t>199910172019122004</t>
  </si>
  <si>
    <t>JOSE IGNATIUS GINTING</t>
  </si>
  <si>
    <t>200009102019121002</t>
  </si>
  <si>
    <t>KHOIRUL AMALIYAH</t>
  </si>
  <si>
    <t>200005172019122003</t>
  </si>
  <si>
    <t>M. RIFQI HIDAYAT</t>
  </si>
  <si>
    <t>200009222019121001</t>
  </si>
  <si>
    <t>M. SAMSU DHUHA</t>
  </si>
  <si>
    <t>200201082021011001</t>
  </si>
  <si>
    <t>200006022021011002</t>
  </si>
  <si>
    <t>MAULIDA SIWI PUSPANINGRUM</t>
  </si>
  <si>
    <t>200106082019122001</t>
  </si>
  <si>
    <t>200007232019122003</t>
  </si>
  <si>
    <t>MIFTAHUL LATIFA</t>
  </si>
  <si>
    <t>200004192021012001</t>
  </si>
  <si>
    <t>MIFTAKHUL IRFAN PUTU RAHARJO</t>
  </si>
  <si>
    <t>200107132021011001</t>
  </si>
  <si>
    <t>MIKAEL REZA SIBARANI</t>
  </si>
  <si>
    <t>200001162019121002</t>
  </si>
  <si>
    <t>MUHAMMAD DZULFIQAR FIRSTYANRAHMA HARYONO</t>
  </si>
  <si>
    <t>200006012019121002</t>
  </si>
  <si>
    <t>200009132021011001</t>
  </si>
  <si>
    <t>MUHAMMAD RAMADHAN</t>
  </si>
  <si>
    <t>199912142018121001</t>
  </si>
  <si>
    <t>MUHAMMAD YOGA SETIAWAN</t>
  </si>
  <si>
    <t>200006022021011003</t>
  </si>
  <si>
    <t>MUHAMMAD YUNUS CHORY</t>
  </si>
  <si>
    <t>199911132019121003</t>
  </si>
  <si>
    <t>200007072019121002</t>
  </si>
  <si>
    <t>MUTIARA PRISFA KINANTI</t>
  </si>
  <si>
    <t>200001232019122004</t>
  </si>
  <si>
    <t>NABILA NATESHAFITRI</t>
  </si>
  <si>
    <t>200001192019122003</t>
  </si>
  <si>
    <t>200002272019122001</t>
  </si>
  <si>
    <t>PRIMA ANSARI MANULLANG</t>
  </si>
  <si>
    <t>200103162019122001</t>
  </si>
  <si>
    <t>PRIMA JATI NUGROHO</t>
  </si>
  <si>
    <t>200005192019121003</t>
  </si>
  <si>
    <t>PRINCES DINA CHRISTINA SILABAN</t>
  </si>
  <si>
    <t>200110122021012001</t>
  </si>
  <si>
    <t>QOMARUNNISA MAULIDA ULUELANG</t>
  </si>
  <si>
    <t>200004202018122001</t>
  </si>
  <si>
    <t>200011132021012001</t>
  </si>
  <si>
    <t>R. ADITYA PRAMONO NURFAIZI</t>
  </si>
  <si>
    <t>200101022019121002</t>
  </si>
  <si>
    <t>RAFI RAIHAN</t>
  </si>
  <si>
    <t>200106192021011001</t>
  </si>
  <si>
    <t>200012142019121001</t>
  </si>
  <si>
    <t>RAKHA PRATAMA PUTERA</t>
  </si>
  <si>
    <t>200006112019121002</t>
  </si>
  <si>
    <t>RASTI NOVITASARI</t>
  </si>
  <si>
    <t>200006032019122001</t>
  </si>
  <si>
    <t>RIDHONIN ULVAH</t>
  </si>
  <si>
    <t>199911202019122004</t>
  </si>
  <si>
    <t>RIFQI TSAAQIFUDDIN AMRI</t>
  </si>
  <si>
    <t>200104272021011001</t>
  </si>
  <si>
    <t>RIZKI HADI PRATAMA</t>
  </si>
  <si>
    <t>200001272019121004</t>
  </si>
  <si>
    <t>RIZQIYA MUMTAZA</t>
  </si>
  <si>
    <t>200004132019122006</t>
  </si>
  <si>
    <t>199911232018121004</t>
  </si>
  <si>
    <t>200003012021012001</t>
  </si>
  <si>
    <t>RYAN ADHA SURYA DARMA</t>
  </si>
  <si>
    <t>200003152019121001</t>
  </si>
  <si>
    <t>SALSABILA MARISA AYU FIRMANI</t>
  </si>
  <si>
    <t>200108102019122002</t>
  </si>
  <si>
    <t>SARAH SORAYA</t>
  </si>
  <si>
    <t>200004172018122002</t>
  </si>
  <si>
    <t>SELLY AMELIA HASIBUAN</t>
  </si>
  <si>
    <t>200004112019122005</t>
  </si>
  <si>
    <t>200008122019122002</t>
  </si>
  <si>
    <t>SINDI APRIYANTI</t>
  </si>
  <si>
    <t>200004022019122003</t>
  </si>
  <si>
    <t>SISILIA NURFADHILLA</t>
  </si>
  <si>
    <t>200002292019122002</t>
  </si>
  <si>
    <t>SITI SALMA SALAMAH</t>
  </si>
  <si>
    <t>200006142019122002</t>
  </si>
  <si>
    <t>STIEFANUS RIARDI</t>
  </si>
  <si>
    <t>200006032019121002</t>
  </si>
  <si>
    <t>200005182019122004</t>
  </si>
  <si>
    <t>TIARA ZULFA SALSABILA</t>
  </si>
  <si>
    <t>200011302019122002</t>
  </si>
  <si>
    <t>TOMI RONITUA RAJAGUKGUK</t>
  </si>
  <si>
    <t>200011012019121002</t>
  </si>
  <si>
    <t>TRI WULANDARI</t>
  </si>
  <si>
    <t>200007192019122003</t>
  </si>
  <si>
    <t>TRIARA ADINDA SANIA PUTRI</t>
  </si>
  <si>
    <t>200002232019122004</t>
  </si>
  <si>
    <t>200003222019122002</t>
  </si>
  <si>
    <t>UTIYA HIMMATUL HAUNI</t>
  </si>
  <si>
    <t>200010042021012001</t>
  </si>
  <si>
    <t>VIRA ADELINA</t>
  </si>
  <si>
    <t>200005132019122002</t>
  </si>
  <si>
    <t>200105172021011001</t>
  </si>
  <si>
    <t>WANDA WIGUNA SINAGA</t>
  </si>
  <si>
    <t>200003062019121002</t>
  </si>
  <si>
    <t>WIDYA NINGRUM RATNA PUSPITA SARI</t>
  </si>
  <si>
    <t>200103232019122002</t>
  </si>
  <si>
    <t>200101042021012001</t>
  </si>
  <si>
    <t>YOHANA MILLENIA RIYAN SETYA</t>
  </si>
  <si>
    <t>200002242019122005</t>
  </si>
  <si>
    <t>YOLANDA TRI JOSEPHINE MANURUNG</t>
  </si>
  <si>
    <t>200105262019122001</t>
  </si>
  <si>
    <t>YOLANDA VALENTINA PUTRI SOLECH</t>
  </si>
  <si>
    <t>200102112019122001</t>
  </si>
  <si>
    <t>YUDI HERMAWAN</t>
  </si>
  <si>
    <t>200003232019121003</t>
  </si>
  <si>
    <t>199911052019122002</t>
  </si>
  <si>
    <t>ZEIN ABDURAHMAN</t>
  </si>
  <si>
    <t>199911222018121001</t>
  </si>
  <si>
    <t>200001072018122002</t>
  </si>
  <si>
    <t>AFANDI SAPUTRA BAHARI</t>
  </si>
  <si>
    <t>200101042019121001</t>
  </si>
  <si>
    <t>DIII PBB/PENILAI</t>
  </si>
  <si>
    <t>AFFAN GHIFFARI</t>
  </si>
  <si>
    <t>199911132018121004</t>
  </si>
  <si>
    <t>AGIL WIDIYATMOKO</t>
  </si>
  <si>
    <t>200001022019121003</t>
  </si>
  <si>
    <t>AGNES EKA PUSPITA</t>
  </si>
  <si>
    <t>200004252019122004</t>
  </si>
  <si>
    <t>AGUNG BARKAH AVIANTO</t>
  </si>
  <si>
    <t>199911082019121002</t>
  </si>
  <si>
    <t>AHMAD MUFRIH LUBIS</t>
  </si>
  <si>
    <t>200001092019121002</t>
  </si>
  <si>
    <t>AHMAD MUZAKKA ALY AKBAR WAHYUDI</t>
  </si>
  <si>
    <t>200005192018121001</t>
  </si>
  <si>
    <t>AHMAD QOMARUDIN</t>
  </si>
  <si>
    <t>200011132019121001</t>
  </si>
  <si>
    <t>ALDRIN O.K. SIMBOLON</t>
  </si>
  <si>
    <t>200006162019121002</t>
  </si>
  <si>
    <t>ALVINA NUR KASANAH</t>
  </si>
  <si>
    <t>200010282019122003</t>
  </si>
  <si>
    <t>ANDI FACHRYAN AL-GHIFFARI ASFAR</t>
  </si>
  <si>
    <t>200011052019121003</t>
  </si>
  <si>
    <t>DIIL PBB/PENILAI</t>
  </si>
  <si>
    <t>ARIF MUSTOFA</t>
  </si>
  <si>
    <t>199911212019121001</t>
  </si>
  <si>
    <t>AURA CHAIRUNISSA</t>
  </si>
  <si>
    <t>200012022019122001</t>
  </si>
  <si>
    <t>AYUNI AJENG NOVIA</t>
  </si>
  <si>
    <t>200011062019122001</t>
  </si>
  <si>
    <t>AZZA MAHARANI ADHANIA</t>
  </si>
  <si>
    <t>200007252019122001</t>
  </si>
  <si>
    <t>BAHARUDDIN AS AD</t>
  </si>
  <si>
    <t>200003072021011002</t>
  </si>
  <si>
    <t>BRIGITA LILIANA HERAWATI</t>
  </si>
  <si>
    <t>200008012019122003</t>
  </si>
  <si>
    <t>CANDRA KUSUMA ATMAJA</t>
  </si>
  <si>
    <t>200005142021011001</t>
  </si>
  <si>
    <t>CELSI ALISSA ZULMAR</t>
  </si>
  <si>
    <t>200101172021012001</t>
  </si>
  <si>
    <t>DESAK GEDE AYU NITA LESTARI</t>
  </si>
  <si>
    <t>199912112019122002</t>
  </si>
  <si>
    <t>DESTI ULI ANGELINA</t>
  </si>
  <si>
    <t>199912012019122002</t>
  </si>
  <si>
    <t>DEVIANA MARYUANDI</t>
  </si>
  <si>
    <t>199911072019122003</t>
  </si>
  <si>
    <t>DIAN PUSPITASARI</t>
  </si>
  <si>
    <t>200102132019122002</t>
  </si>
  <si>
    <t>DICKY HANGGA REKSA INDI</t>
  </si>
  <si>
    <t>200004072019121003</t>
  </si>
  <si>
    <t>EDO FRENDHYKA GILANG RAMADHAN</t>
  </si>
  <si>
    <t>200011122019121003</t>
  </si>
  <si>
    <t>ELA SEKARDIATI</t>
  </si>
  <si>
    <t>200102162021012001</t>
  </si>
  <si>
    <t>EUGENIUS SAVALDO</t>
  </si>
  <si>
    <t>200006212019121001</t>
  </si>
  <si>
    <t>EVAN BAGAS NUR HALIM</t>
  </si>
  <si>
    <t>199910222019121002</t>
  </si>
  <si>
    <t>EVATRINA NIWANDA</t>
  </si>
  <si>
    <t>200010202019122003</t>
  </si>
  <si>
    <t>FACHRY FADLA HIDAYAT</t>
  </si>
  <si>
    <t>200010252019121001</t>
  </si>
  <si>
    <t>FARHAN ABDILLAH</t>
  </si>
  <si>
    <t>200001112019121002</t>
  </si>
  <si>
    <t>FARHAN ZUKHAIRI</t>
  </si>
  <si>
    <t>200011062019121001</t>
  </si>
  <si>
    <t>FAULIA RIKA PRATIWI BATUBARA</t>
  </si>
  <si>
    <t>200006052019122001</t>
  </si>
  <si>
    <t>FEBYOLA RAHELIA NAINGGOLAN</t>
  </si>
  <si>
    <t>200006202019122001</t>
  </si>
  <si>
    <t>GALIH PRATAΜΑ</t>
  </si>
  <si>
    <t>200105242021011001</t>
  </si>
  <si>
    <t>GUS SOFI ELON SITOHANG</t>
  </si>
  <si>
    <t>200008312019121001</t>
  </si>
  <si>
    <t>HARITS ABDUL AZIZ</t>
  </si>
  <si>
    <t>200101052021011001</t>
  </si>
  <si>
    <t>HASNA SABILA</t>
  </si>
  <si>
    <t>200010252021012001</t>
  </si>
  <si>
    <t>HASUDUNGAN YOHANES M NAIBAHO</t>
  </si>
  <si>
    <t>200008232019121003</t>
  </si>
  <si>
    <t>HERLIN RANNU KABANGNGA</t>
  </si>
  <si>
    <t>200101072019122001</t>
  </si>
  <si>
    <t>JUBLIUS SITANGGANG</t>
  </si>
  <si>
    <t>200002022019121005</t>
  </si>
  <si>
    <t>KEVIN MASYA ISLAMSYAH</t>
  </si>
  <si>
    <t>200007132019121003</t>
  </si>
  <si>
    <t>KHINAYATUS SYIFAH</t>
  </si>
  <si>
    <t>200002152019122002</t>
  </si>
  <si>
    <t>KUKUH AMALIAWAN</t>
  </si>
  <si>
    <t>199910242019121001</t>
  </si>
  <si>
    <t>LIA JANNATI CHOIRUNNISA</t>
  </si>
  <si>
    <t>200108292021012001</t>
  </si>
  <si>
    <t>M. RAFLI AIDI</t>
  </si>
  <si>
    <t>199912192018121002</t>
  </si>
  <si>
    <t>M. ROMI AULIA AZKA</t>
  </si>
  <si>
    <t>200001102019121002</t>
  </si>
  <si>
    <t>MARSHELLA DWIVITASARI</t>
  </si>
  <si>
    <t>200003072019122002</t>
  </si>
  <si>
    <t>MOCHAMAD RIZAL FEBRIANTO</t>
  </si>
  <si>
    <t>200002092019121002</t>
  </si>
  <si>
    <t>MUHAMMAD BAHARUDIN NAIM</t>
  </si>
  <si>
    <t>200003042019121002</t>
  </si>
  <si>
    <t>MUHAMMAD FARHAN ALIBASYAH</t>
  </si>
  <si>
    <t>200105242021011002</t>
  </si>
  <si>
    <t>MUHAMMAD FIKRI ALFAJRI</t>
  </si>
  <si>
    <t>199911142019121001</t>
  </si>
  <si>
    <t>MUHAMMAD INDRA ALAMSYAH</t>
  </si>
  <si>
    <t>200007162019121001</t>
  </si>
  <si>
    <t>MUHAMMAD JOANSYAH AL FARISI</t>
  </si>
  <si>
    <t>200008052019121001</t>
  </si>
  <si>
    <t>MUHAMMAD NAUFAL PRANANDA</t>
  </si>
  <si>
    <t>200008122019121001</t>
  </si>
  <si>
    <t>MUHAMMAD SALMAN NURUL IZMI</t>
  </si>
  <si>
    <t>200008072019121003</t>
  </si>
  <si>
    <t>MUHAMMAD SULTON MALIK AHYAR</t>
  </si>
  <si>
    <t>200012052019121001</t>
  </si>
  <si>
    <t>MUHAMMAD SYAMSU IRHAM</t>
  </si>
  <si>
    <t>200004082019121002</t>
  </si>
  <si>
    <t>NATHANIA CELIO HARTONO PUTRI</t>
  </si>
  <si>
    <t>200011252019122001</t>
  </si>
  <si>
    <t>NIKOLAS ANDONY SIHOMBING</t>
  </si>
  <si>
    <t>199910182019121004</t>
  </si>
  <si>
    <t>NURLITA ANGGRAINI</t>
  </si>
  <si>
    <t>200107112019122001</t>
  </si>
  <si>
    <t>OCTIKA PUSPITA PINESTI</t>
  </si>
  <si>
    <t>199910222018122003</t>
  </si>
  <si>
    <t>ORCHIDITA AL FIRJATULLAH</t>
  </si>
  <si>
    <t>200007012018122001</t>
  </si>
  <si>
    <t>PUTU AYU ANDRIYANI</t>
  </si>
  <si>
    <t>200002172019122004</t>
  </si>
  <si>
    <t>PUTU PRAMANA WIJAYA</t>
  </si>
  <si>
    <t>200003312019121002</t>
  </si>
  <si>
    <t>RAMA ADJIE CARAKA</t>
  </si>
  <si>
    <t>199911052019121001</t>
  </si>
  <si>
    <t>RAMADHAN SURYA HADI KUSUMA</t>
  </si>
  <si>
    <t>199911242019121001</t>
  </si>
  <si>
    <t>RENDY ANDIKA PUJA</t>
  </si>
  <si>
    <t>200001302021011001</t>
  </si>
  <si>
    <t>RETNO KUSYANTI</t>
  </si>
  <si>
    <t>200011032019122003</t>
  </si>
  <si>
    <t>REZA ADIPUTRA</t>
  </si>
  <si>
    <t>200010192019121003</t>
  </si>
  <si>
    <t>REZKY EKA PUTRI</t>
  </si>
  <si>
    <t>200002282019122005</t>
  </si>
  <si>
    <t>ROIHAN MUSTHOFA KHOIR</t>
  </si>
  <si>
    <t>200002142019121004</t>
  </si>
  <si>
    <t>ROSSA ANGELITA AGUSTIN</t>
  </si>
  <si>
    <t>200008302019122006</t>
  </si>
  <si>
    <t>SAMUEL JHON PITER TAMPUBOLON</t>
  </si>
  <si>
    <t>200012192019121001</t>
  </si>
  <si>
    <t>SARAH ORIZA ULI PANJAITAN</t>
  </si>
  <si>
    <t>200101082019122003</t>
  </si>
  <si>
    <t>SONIA EVITA SIDABUTAR</t>
  </si>
  <si>
    <t>200004042018122001</t>
  </si>
  <si>
    <t>SYAHRIZQA KAMILA RAMADHANI</t>
  </si>
  <si>
    <t>200012042019122002</t>
  </si>
  <si>
    <t>THERESIA DOLAR ASIMA SIHITE</t>
  </si>
  <si>
    <t>200012192019122004</t>
  </si>
  <si>
    <t>TSANY ATHALLAH HERBI PUTRA</t>
  </si>
  <si>
    <t>200103012021011001</t>
  </si>
  <si>
    <t>VIOLINA OKΚΤΑΝΙΑ</t>
  </si>
  <si>
    <t>199910262019122002</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</si>
</sst>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H:mm:ss"/>
    <numFmt numFmtId="165" formatCode="m/d/yyyy h:mm:ss"/>
    <numFmt numFmtId="166" formatCode="dd/MM/yyyy"/>
    <numFmt numFmtId="167" formatCode="d mmmm yyyy"/>
  </numFmts>
  <fonts count="6">
    <font>
      <sz val="10.0"/>
      <color rgb="FF000000"/>
      <name val="Arial"/>
      <scheme val="minor"/>
    </font>
    <font>
      <color theme="1"/>
      <name val="Arial"/>
      <scheme val="minor"/>
    </font>
    <font>
      <color theme="1"/>
      <name val="Arial"/>
    </font>
    <font>
      <u/>
      <color rgb="FF0000FF"/>
    </font>
    <font>
      <b/>
      <sz val="17.0"/>
      <color rgb="FFFFFFFF"/>
      <name val="Arial"/>
      <scheme val="minor"/>
    </font>
    <font>
      <color theme="1"/>
      <name val="Calibri"/>
    </font>
  </fonts>
  <fills count="6">
    <fill>
      <patternFill patternType="none"/>
    </fill>
    <fill>
      <patternFill patternType="lightGray"/>
    </fill>
    <fill>
      <patternFill patternType="solid">
        <fgColor rgb="FFEA4335"/>
        <bgColor rgb="FFEA4335"/>
      </patternFill>
    </fill>
    <fill>
      <patternFill patternType="solid">
        <fgColor rgb="FF666666"/>
        <bgColor rgb="FF666666"/>
      </patternFill>
    </fill>
    <fill>
      <patternFill patternType="solid">
        <fgColor theme="8"/>
        <bgColor theme="8"/>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xf borderId="0" fillId="2" fontId="2" numFmtId="0" xfId="0" applyAlignment="1" applyFill="1" applyFont="1">
      <alignment vertical="bottom"/>
    </xf>
    <xf borderId="0" fillId="0" fontId="2" numFmtId="0" xfId="0" applyAlignment="1" applyFont="1">
      <alignment horizontal="right" vertical="bottom"/>
    </xf>
    <xf borderId="0" fillId="0" fontId="2" numFmtId="14" xfId="0" applyAlignment="1" applyFont="1" applyNumberFormat="1">
      <alignment horizontal="right" vertical="bottom"/>
    </xf>
    <xf borderId="0" fillId="0" fontId="1" numFmtId="0" xfId="0" applyFont="1"/>
    <xf borderId="0" fillId="0" fontId="2" numFmtId="0" xfId="0" applyAlignment="1" applyFont="1">
      <alignment readingOrder="0" vertical="bottom"/>
    </xf>
    <xf borderId="0" fillId="0" fontId="2" numFmtId="14" xfId="0" applyAlignment="1" applyFont="1" applyNumberFormat="1">
      <alignment horizontal="right" readingOrder="0" vertical="bottom"/>
    </xf>
    <xf borderId="0" fillId="0" fontId="2" numFmtId="165" xfId="0" applyAlignment="1" applyFont="1" applyNumberFormat="1">
      <alignment horizontal="right" readingOrder="0" vertical="bottom"/>
    </xf>
    <xf borderId="0" fillId="0" fontId="3" numFmtId="0" xfId="0" applyAlignment="1" applyFont="1">
      <alignment readingOrder="0"/>
    </xf>
    <xf borderId="0" fillId="0" fontId="2" numFmtId="0" xfId="0" applyAlignment="1" applyFont="1">
      <alignment vertical="bottom"/>
    </xf>
    <xf borderId="0" fillId="0" fontId="1" numFmtId="14" xfId="0" applyAlignment="1" applyFont="1" applyNumberFormat="1">
      <alignment readingOrder="0"/>
    </xf>
    <xf borderId="0" fillId="0" fontId="1" numFmtId="165" xfId="0" applyAlignment="1" applyFont="1" applyNumberFormat="1">
      <alignment readingOrder="0"/>
    </xf>
    <xf borderId="0" fillId="3" fontId="4" numFmtId="0" xfId="0" applyAlignment="1" applyFill="1" applyFont="1">
      <alignment horizontal="center" readingOrder="0" vertical="center"/>
    </xf>
    <xf borderId="0" fillId="0" fontId="1" numFmtId="0" xfId="0" applyAlignment="1" applyFont="1">
      <alignment horizontal="center"/>
    </xf>
    <xf borderId="1" fillId="4" fontId="2" numFmtId="0" xfId="0" applyAlignment="1" applyBorder="1" applyFill="1" applyFont="1">
      <alignment horizontal="center" vertical="bottom"/>
    </xf>
    <xf borderId="1" fillId="4" fontId="2" numFmtId="0" xfId="0" applyAlignment="1" applyBorder="1" applyFont="1">
      <alignment horizontal="left" vertical="bottom"/>
    </xf>
    <xf borderId="1" fillId="4" fontId="2" numFmtId="0" xfId="0" applyAlignment="1" applyBorder="1" applyFont="1">
      <alignment horizontal="center" readingOrder="0" vertical="bottom"/>
    </xf>
    <xf borderId="1" fillId="5" fontId="5" numFmtId="0" xfId="0" applyAlignment="1" applyBorder="1" applyFill="1" applyFont="1">
      <alignment horizontal="center" vertical="bottom"/>
    </xf>
    <xf borderId="1" fillId="5" fontId="5" numFmtId="0" xfId="0" applyAlignment="1" applyBorder="1" applyFont="1">
      <alignment horizontal="center" vertical="bottom"/>
    </xf>
    <xf borderId="1" fillId="5" fontId="5" numFmtId="0" xfId="0" applyAlignment="1" applyBorder="1" applyFont="1">
      <alignment horizontal="left" vertical="bottom"/>
    </xf>
    <xf borderId="1" fillId="5" fontId="2" numFmtId="166" xfId="0" applyAlignment="1" applyBorder="1" applyFont="1" applyNumberFormat="1">
      <alignment horizontal="center" readingOrder="0" vertical="bottom"/>
    </xf>
    <xf borderId="1" fillId="5" fontId="2" numFmtId="0" xfId="0" applyAlignment="1" applyBorder="1" applyFont="1">
      <alignment horizontal="center" vertical="bottom"/>
    </xf>
    <xf borderId="1" fillId="5" fontId="2" numFmtId="0" xfId="0" applyAlignment="1" applyBorder="1" applyFont="1">
      <alignment horizontal="left" vertical="bottom"/>
    </xf>
    <xf borderId="0" fillId="0" fontId="5" numFmtId="0" xfId="0" applyAlignment="1" applyFont="1">
      <alignment horizontal="center" vertical="bottom"/>
    </xf>
    <xf borderId="1" fillId="5" fontId="2" numFmtId="0" xfId="0" applyAlignment="1" applyBorder="1" applyFont="1">
      <alignment horizontal="center" readingOrder="0" vertical="bottom"/>
    </xf>
    <xf borderId="1" fillId="5" fontId="2" numFmtId="0" xfId="0" applyAlignment="1" applyBorder="1" applyFont="1">
      <alignment horizontal="left" readingOrder="0" vertical="bottom"/>
    </xf>
    <xf quotePrefix="1" borderId="1" fillId="5" fontId="2" numFmtId="0" xfId="0" applyAlignment="1" applyBorder="1" applyFont="1">
      <alignment horizontal="center" readingOrder="0" vertical="bottom"/>
    </xf>
    <xf borderId="1" fillId="5" fontId="5" numFmtId="0" xfId="0" applyAlignment="1" applyBorder="1" applyFont="1">
      <alignment horizontal="left" vertical="bottom"/>
    </xf>
    <xf borderId="1" fillId="5" fontId="5" numFmtId="0" xfId="0" applyAlignment="1" applyBorder="1" applyFont="1">
      <alignment horizontal="left" readingOrder="0" vertical="bottom"/>
    </xf>
    <xf borderId="0" fillId="0" fontId="5" numFmtId="0" xfId="0" applyAlignment="1" applyFont="1">
      <alignment horizontal="center" readingOrder="0" vertical="bottom"/>
    </xf>
    <xf borderId="0" fillId="0" fontId="1" numFmtId="0" xfId="0" applyAlignment="1" applyFont="1">
      <alignment horizontal="left"/>
    </xf>
    <xf borderId="0" fillId="0" fontId="1" numFmtId="166" xfId="0" applyAlignment="1" applyFont="1" applyNumberFormat="1">
      <alignment horizontal="center"/>
    </xf>
    <xf borderId="0" fillId="0" fontId="1" numFmtId="167" xfId="0" applyAlignment="1" applyFont="1" applyNumberFormat="1">
      <alignment readingOrder="0"/>
    </xf>
    <xf borderId="0" fillId="0" fontId="1" numFmtId="14" xfId="0" applyFont="1" applyNumberFormat="1"/>
  </cellXfs>
  <cellStyles count="1">
    <cellStyle xfId="0" name="Normal" builtinId="0"/>
  </cellStyles>
  <dxfs count="2">
    <dxf>
      <font/>
      <fill>
        <patternFill patternType="solid">
          <fgColor theme="5"/>
          <bgColor theme="5"/>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QAwHxz4D6Lij5ZUZ_veZbTvgw30i0itG/view?usp=drivesdk" TargetMode="External"/><Relationship Id="rId20" Type="http://schemas.openxmlformats.org/officeDocument/2006/relationships/hyperlink" Target="https://drive.google.com/file/d/1Pml9WhO3KnyodgFsjFzaEF6wqQ4bCKIs/view?usp=drivesdk" TargetMode="External"/><Relationship Id="rId42" Type="http://schemas.openxmlformats.org/officeDocument/2006/relationships/hyperlink" Target="https://drive.google.com/file/d/17he6BB_kf3dIOXOZo-HDEMs_VRXsUPkT/view?usp=drivesdk" TargetMode="External"/><Relationship Id="rId41" Type="http://schemas.openxmlformats.org/officeDocument/2006/relationships/hyperlink" Target="https://drive.google.com/file/d/1PqdNW-z_6fyYbVl06DxLo-_OY8SxOO5e/view?usp=drivesdk" TargetMode="External"/><Relationship Id="rId22" Type="http://schemas.openxmlformats.org/officeDocument/2006/relationships/hyperlink" Target="https://drive.google.com/file/d/1mt1lNf5USb04qd1uinc6E6zA0raMupvO/view?usp=drivesdk" TargetMode="External"/><Relationship Id="rId44" Type="http://schemas.openxmlformats.org/officeDocument/2006/relationships/hyperlink" Target="https://drive.google.com/file/d/1fW4pOENHJa9DE1h1owU2upT1Tmuk9-R3/view?usp=drivesdk" TargetMode="External"/><Relationship Id="rId21" Type="http://schemas.openxmlformats.org/officeDocument/2006/relationships/hyperlink" Target="https://drive.google.com/file/d/1uE--LTKeY1yMf9--qXRy7BFWUAHvr8Ns/view?usp=drivesdk" TargetMode="External"/><Relationship Id="rId43" Type="http://schemas.openxmlformats.org/officeDocument/2006/relationships/hyperlink" Target="https://drive.google.com/file/d/1Zz62A4UJnBoU45gzJHUnXiDjvt96kTON/view?usp=drivesdk" TargetMode="External"/><Relationship Id="rId24" Type="http://schemas.openxmlformats.org/officeDocument/2006/relationships/hyperlink" Target="https://drive.google.com/file/d/1Y0V-K2RcUNoQsFkgHgfiDnYoQnMzHejD/view?usp=drivesdk" TargetMode="External"/><Relationship Id="rId46" Type="http://schemas.openxmlformats.org/officeDocument/2006/relationships/hyperlink" Target="https://drive.google.com/file/d/1KNl1vAkOvmfz7d4I5OzKwrX4FzKswPZw/view?usp=drivesdk" TargetMode="External"/><Relationship Id="rId23" Type="http://schemas.openxmlformats.org/officeDocument/2006/relationships/hyperlink" Target="https://drive.google.com/file/d/1hvvqBjRnpF2HxTbed_VduOUyoi2g_6Lu/view?usp=drivesdk" TargetMode="External"/><Relationship Id="rId45" Type="http://schemas.openxmlformats.org/officeDocument/2006/relationships/hyperlink" Target="https://drive.google.com/file/d/1GJ02O-irId9AQkt2rX7RK3jZp1bcK5f1/view?usp=drivesdk" TargetMode="External"/><Relationship Id="rId1" Type="http://schemas.openxmlformats.org/officeDocument/2006/relationships/hyperlink" Target="https://drive.google.com/file/d/1dPfDRHhusjnEJ2wIW2Be1vYReXbRPzO-/view?usp=drivesdk" TargetMode="External"/><Relationship Id="rId2" Type="http://schemas.openxmlformats.org/officeDocument/2006/relationships/hyperlink" Target="https://drive.google.com/file/d/1dRcZRH4s4vKNFw1rPrNQueII5REZoFpk/view?usp=drivesdk" TargetMode="External"/><Relationship Id="rId3" Type="http://schemas.openxmlformats.org/officeDocument/2006/relationships/hyperlink" Target="https://drive.google.com/file/d/1TnWRVE3iOfZz0cinxHsBuNvCwhwxexLa/view?usp=drivesdk" TargetMode="External"/><Relationship Id="rId4" Type="http://schemas.openxmlformats.org/officeDocument/2006/relationships/hyperlink" Target="https://drive.google.com/file/d/1ZysxMHLD3LAwYVLFOyVSxfOUyWLqcK-1/view?usp=drivesdk" TargetMode="External"/><Relationship Id="rId9" Type="http://schemas.openxmlformats.org/officeDocument/2006/relationships/hyperlink" Target="https://drive.google.com/file/d/1MmovnOKCNvdIj-YjFXFztkegLR84FnZK/view?usp=drivesdk" TargetMode="External"/><Relationship Id="rId26" Type="http://schemas.openxmlformats.org/officeDocument/2006/relationships/hyperlink" Target="https://drive.google.com/file/d/1IaT9VfwrzD8CrlXZP_JnHhg1zCMrCVS_/view?usp=drivesdk" TargetMode="External"/><Relationship Id="rId48" Type="http://schemas.openxmlformats.org/officeDocument/2006/relationships/drawing" Target="../drawings/drawing1.xml"/><Relationship Id="rId25" Type="http://schemas.openxmlformats.org/officeDocument/2006/relationships/hyperlink" Target="https://drive.google.com/file/d/1ufLBF4qi9nNjiyO4Vhhuvjqgm-1uBnZM/view?usp=drivesdk" TargetMode="External"/><Relationship Id="rId47" Type="http://schemas.openxmlformats.org/officeDocument/2006/relationships/hyperlink" Target="https://drive.google.com/file/d/10_Ny-99g72xS1SSwJIe_EnVcPsEIizTR/view?usp=drivesdk" TargetMode="External"/><Relationship Id="rId28" Type="http://schemas.openxmlformats.org/officeDocument/2006/relationships/hyperlink" Target="https://drive.google.com/file/d/1ZvCAnI7FZNladdFXkqZ8h51npxD0GFBw/view?usp=drivesdk" TargetMode="External"/><Relationship Id="rId27" Type="http://schemas.openxmlformats.org/officeDocument/2006/relationships/hyperlink" Target="https://drive.google.com/file/d/10Ojx9zJYPVbeGT9SsQ8ytG_SPDemQkye/view?usp=drivesdk" TargetMode="External"/><Relationship Id="rId5" Type="http://schemas.openxmlformats.org/officeDocument/2006/relationships/hyperlink" Target="https://drive.google.com/file/d/1PsqIcu7k6RzFScuSL7QPA3UaDO2jFVPw/view?usp=drivesdk" TargetMode="External"/><Relationship Id="rId6" Type="http://schemas.openxmlformats.org/officeDocument/2006/relationships/hyperlink" Target="https://drive.google.com/file/d/17A0-Vdet25_eLdRL6kaQCYhSjh-hmtmv/view?usp=drivesdk" TargetMode="External"/><Relationship Id="rId29" Type="http://schemas.openxmlformats.org/officeDocument/2006/relationships/hyperlink" Target="https://drive.google.com/file/d/1Nl4YakgsTMVEqErx79TYAb9FOlwY2biR/view?usp=drivesdk" TargetMode="External"/><Relationship Id="rId7" Type="http://schemas.openxmlformats.org/officeDocument/2006/relationships/hyperlink" Target="https://drive.google.com/file/d/1YmjYjLPgeYPaWn4G3PK8IKyOujSqpPPy/view?usp=drivesdk" TargetMode="External"/><Relationship Id="rId8" Type="http://schemas.openxmlformats.org/officeDocument/2006/relationships/hyperlink" Target="https://drive.google.com/file/d/1vNxY1ijZPuuUc-ydXIEZqDnqW5QOOgHD/view?usp=drivesdk" TargetMode="External"/><Relationship Id="rId31" Type="http://schemas.openxmlformats.org/officeDocument/2006/relationships/hyperlink" Target="https://drive.google.com/file/d/1jmb7-dwehPKWSLWqHijjdQHB1InFGeAo/view?usp=drivesdk" TargetMode="External"/><Relationship Id="rId30" Type="http://schemas.openxmlformats.org/officeDocument/2006/relationships/hyperlink" Target="https://drive.google.com/file/d/1sU8oC5s_zzx1BHMT8RjcoDilWXo2Eks0/view?usp=drivesdk" TargetMode="External"/><Relationship Id="rId11" Type="http://schemas.openxmlformats.org/officeDocument/2006/relationships/hyperlink" Target="https://docs.google.com/document/d/1Uz_oFHzYVq1t2XytiPq_KzrG_9xjgRIW/edit?usp=drivesdk&amp;ouid=110346958639123070701&amp;rtpof=true&amp;sd=true" TargetMode="External"/><Relationship Id="rId33" Type="http://schemas.openxmlformats.org/officeDocument/2006/relationships/hyperlink" Target="https://drive.google.com/file/d/178uzdOo7u5r5HAuYBrEe35xJk5YwEUeQ/view?usp=drivesdk" TargetMode="External"/><Relationship Id="rId10" Type="http://schemas.openxmlformats.org/officeDocument/2006/relationships/hyperlink" Target="https://docs.google.com/document/d/16yaJm23WSWIVwrD15ZPi9eaIicSw7Xn2/edit?usp=drivesdk&amp;ouid=110346958639123070701&amp;rtpof=true&amp;sd=true" TargetMode="External"/><Relationship Id="rId32" Type="http://schemas.openxmlformats.org/officeDocument/2006/relationships/hyperlink" Target="https://drive.google.com/file/d/1w4G_yh3dbns6Kg6gA2BYuT9FGermGzwQ/view?usp=drivesdk" TargetMode="External"/><Relationship Id="rId13" Type="http://schemas.openxmlformats.org/officeDocument/2006/relationships/hyperlink" Target="https://drive.google.com/file/d/10p_M6pT_A9mrRKWdDfuaOuwdUQ3g0CwC/view?usp=drivesdk" TargetMode="External"/><Relationship Id="rId35" Type="http://schemas.openxmlformats.org/officeDocument/2006/relationships/hyperlink" Target="https://drive.google.com/file/d/1LRNo2MwzN6x-UUrf6OJ8dplh8Hwgjuyq/view?usp=drivesdk" TargetMode="External"/><Relationship Id="rId12" Type="http://schemas.openxmlformats.org/officeDocument/2006/relationships/hyperlink" Target="https://drive.google.com/file/d/1ldmAy2VK162oKZI7AUe7XNttEpNnd1FC/view?usp=drivesdk" TargetMode="External"/><Relationship Id="rId34" Type="http://schemas.openxmlformats.org/officeDocument/2006/relationships/hyperlink" Target="https://drive.google.com/file/d/1hgKB2AowjvT57wNQXQ9u7-MsL5OmrRXT/view?usp=drivesdk" TargetMode="External"/><Relationship Id="rId15" Type="http://schemas.openxmlformats.org/officeDocument/2006/relationships/hyperlink" Target="https://drive.google.com/file/d/1k2P2366NykznVmnFsWDacUe_OT5dMOck/view?usp=drivesdk" TargetMode="External"/><Relationship Id="rId37" Type="http://schemas.openxmlformats.org/officeDocument/2006/relationships/hyperlink" Target="https://drive.google.com/file/d/11VJInXeds-KZ4PXGFaYIs_9JNkAeeORy/view?usp=drivesdk" TargetMode="External"/><Relationship Id="rId14" Type="http://schemas.openxmlformats.org/officeDocument/2006/relationships/hyperlink" Target="https://drive.google.com/file/d/1RoHxnag0Ggx19C14YssLWtewNq1usoHs/view?usp=drivesdk" TargetMode="External"/><Relationship Id="rId36" Type="http://schemas.openxmlformats.org/officeDocument/2006/relationships/hyperlink" Target="https://drive.google.com/file/d/15g9jp5wqMUcNm28hS6h1i7j3T0lv4pob/view?usp=drivesdk" TargetMode="External"/><Relationship Id="rId17" Type="http://schemas.openxmlformats.org/officeDocument/2006/relationships/hyperlink" Target="https://drive.google.com/file/d/1VCn3D6mtmQOVf7tXia4e0ER-ndmU53d2/view?usp=drivesdk" TargetMode="External"/><Relationship Id="rId39" Type="http://schemas.openxmlformats.org/officeDocument/2006/relationships/hyperlink" Target="https://drive.google.com/file/d/1KCcLP1SxChaqin55X2f93kQFsDemZAp1/view?usp=drivesdk" TargetMode="External"/><Relationship Id="rId16" Type="http://schemas.openxmlformats.org/officeDocument/2006/relationships/hyperlink" Target="https://drive.google.com/file/d/1yr61DXxIbbdyHjulcrWxRvL0BOe7ZbZe/view?usp=drivesdk" TargetMode="External"/><Relationship Id="rId38" Type="http://schemas.openxmlformats.org/officeDocument/2006/relationships/hyperlink" Target="https://drive.google.com/file/d/1ytciiRlIS-9lctlbE1XdKwGeIlkoweuy/view?usp=drivesdk" TargetMode="External"/><Relationship Id="rId19" Type="http://schemas.openxmlformats.org/officeDocument/2006/relationships/hyperlink" Target="https://drive.google.com/file/d/16j6jjacEEXpTFNK28yQjFGnwxtGWm2Dt/view?usp=drivesdk" TargetMode="External"/><Relationship Id="rId18" Type="http://schemas.openxmlformats.org/officeDocument/2006/relationships/hyperlink" Target="https://drive.google.com/file/d/18adt1oeGN__fIOXcx6HkXQW6K5aIqG3a/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88"/>
  </cols>
  <sheetData>
    <row r="1">
      <c r="A1" s="1" t="s">
        <v>0</v>
      </c>
      <c r="B1" s="1" t="s">
        <v>1</v>
      </c>
      <c r="C1" s="1" t="s">
        <v>2</v>
      </c>
      <c r="D1" s="1" t="s">
        <v>3</v>
      </c>
      <c r="E1" s="1" t="s">
        <v>4</v>
      </c>
      <c r="F1" s="1" t="s">
        <v>5</v>
      </c>
      <c r="G1" s="1" t="s">
        <v>6</v>
      </c>
      <c r="H1" s="1" t="s">
        <v>7</v>
      </c>
      <c r="I1" s="1" t="s">
        <v>8</v>
      </c>
      <c r="J1" s="1" t="s">
        <v>9</v>
      </c>
    </row>
    <row r="2">
      <c r="A2" s="2" t="s">
        <v>10</v>
      </c>
      <c r="B2" s="2" t="s">
        <v>11</v>
      </c>
      <c r="C2" s="3">
        <v>45787.554861111115</v>
      </c>
      <c r="D2" s="4">
        <v>45783.5</v>
      </c>
      <c r="E2" s="2" t="s">
        <v>12</v>
      </c>
      <c r="F2" s="2" t="s">
        <v>13</v>
      </c>
      <c r="G2" s="2" t="s">
        <v>14</v>
      </c>
      <c r="H2" s="5" t="str">
        <f t="array" ref="H2:H955">IF(I2:I958="","",IF(I2:I958&gt;0,"Outstanding","Lewat/Selesai"))</f>
        <v>Lewat/Selesai</v>
      </c>
      <c r="I2" s="6">
        <f t="array" ref="I2:I955">IF(D2:D958="","",D2:D958-today())</f>
        <v>-189.5</v>
      </c>
    </row>
    <row r="3">
      <c r="A3" s="2" t="s">
        <v>15</v>
      </c>
      <c r="B3" s="2" t="s">
        <v>16</v>
      </c>
      <c r="C3" s="7">
        <v>45788.54880070602</v>
      </c>
      <c r="D3" s="4">
        <v>45797.58333333333</v>
      </c>
      <c r="E3" s="2" t="s">
        <v>17</v>
      </c>
      <c r="F3" s="2" t="s">
        <v>18</v>
      </c>
      <c r="G3" s="2" t="s">
        <v>19</v>
      </c>
      <c r="H3" s="8" t="s">
        <v>20</v>
      </c>
      <c r="I3" s="8">
        <v>-175.41666666667152</v>
      </c>
    </row>
    <row r="4">
      <c r="A4" s="2" t="s">
        <v>21</v>
      </c>
      <c r="B4" s="2" t="s">
        <v>22</v>
      </c>
      <c r="C4" s="7">
        <v>45789.33394484954</v>
      </c>
      <c r="D4" s="4">
        <v>45797.0</v>
      </c>
      <c r="E4" s="2" t="s">
        <v>23</v>
      </c>
      <c r="F4" s="2" t="s">
        <v>24</v>
      </c>
      <c r="G4" s="2" t="s">
        <v>25</v>
      </c>
      <c r="H4" s="8" t="s">
        <v>20</v>
      </c>
      <c r="I4" s="8">
        <v>-176.0</v>
      </c>
    </row>
    <row r="5">
      <c r="A5" s="2" t="s">
        <v>21</v>
      </c>
      <c r="B5" s="2" t="s">
        <v>26</v>
      </c>
      <c r="C5" s="7">
        <v>45789.33395585648</v>
      </c>
      <c r="D5" s="4">
        <v>45892.0</v>
      </c>
      <c r="E5" s="2" t="s">
        <v>23</v>
      </c>
      <c r="F5" s="2" t="s">
        <v>27</v>
      </c>
      <c r="G5" s="2" t="s">
        <v>28</v>
      </c>
      <c r="H5" s="8" t="s">
        <v>20</v>
      </c>
      <c r="I5" s="8">
        <v>-81.0</v>
      </c>
    </row>
    <row r="6">
      <c r="A6" s="2" t="s">
        <v>21</v>
      </c>
      <c r="B6" s="2" t="s">
        <v>29</v>
      </c>
      <c r="C6" s="7">
        <v>45789.333963321755</v>
      </c>
      <c r="D6" s="4">
        <v>45740.0</v>
      </c>
      <c r="E6" s="2" t="s">
        <v>23</v>
      </c>
      <c r="F6" s="2" t="s">
        <v>30</v>
      </c>
      <c r="G6" s="2" t="s">
        <v>31</v>
      </c>
      <c r="H6" s="8" t="s">
        <v>20</v>
      </c>
      <c r="I6" s="8">
        <v>-233.0</v>
      </c>
    </row>
    <row r="7">
      <c r="A7" s="2" t="s">
        <v>21</v>
      </c>
      <c r="B7" s="2" t="s">
        <v>32</v>
      </c>
      <c r="C7" s="7">
        <v>45789.33396920139</v>
      </c>
      <c r="D7" s="4">
        <v>45801.0</v>
      </c>
      <c r="E7" s="2" t="s">
        <v>23</v>
      </c>
      <c r="F7" s="2" t="s">
        <v>33</v>
      </c>
      <c r="G7" s="2" t="s">
        <v>34</v>
      </c>
      <c r="H7" s="8" t="s">
        <v>20</v>
      </c>
      <c r="I7" s="8">
        <v>-172.0</v>
      </c>
    </row>
    <row r="8">
      <c r="A8" s="2" t="s">
        <v>21</v>
      </c>
      <c r="B8" s="2" t="s">
        <v>35</v>
      </c>
      <c r="C8" s="7">
        <v>45789.33397678241</v>
      </c>
      <c r="D8" s="4">
        <v>45984.0</v>
      </c>
      <c r="E8" s="2" t="s">
        <v>23</v>
      </c>
      <c r="F8" s="2" t="s">
        <v>36</v>
      </c>
      <c r="G8" s="2" t="s">
        <v>37</v>
      </c>
      <c r="H8" s="8" t="s">
        <v>38</v>
      </c>
      <c r="I8" s="8">
        <v>11.0</v>
      </c>
    </row>
    <row r="9">
      <c r="A9" s="2" t="s">
        <v>21</v>
      </c>
      <c r="B9" s="2" t="s">
        <v>39</v>
      </c>
      <c r="C9" s="7">
        <v>45789.3339834838</v>
      </c>
      <c r="D9" s="4">
        <v>45901.0</v>
      </c>
      <c r="E9" s="2" t="s">
        <v>23</v>
      </c>
      <c r="F9" s="2" t="s">
        <v>40</v>
      </c>
      <c r="G9" s="2" t="s">
        <v>41</v>
      </c>
      <c r="H9" s="8" t="s">
        <v>20</v>
      </c>
      <c r="I9" s="8">
        <v>-72.0</v>
      </c>
    </row>
    <row r="10">
      <c r="A10" s="2"/>
      <c r="B10" s="2"/>
      <c r="C10" s="7"/>
      <c r="D10" s="4"/>
      <c r="E10" s="2"/>
      <c r="F10" s="2"/>
      <c r="G10" s="2"/>
      <c r="H10" s="8" t="s">
        <v>42</v>
      </c>
      <c r="I10" s="8" t="s">
        <v>42</v>
      </c>
    </row>
    <row r="11">
      <c r="A11" s="2" t="s">
        <v>21</v>
      </c>
      <c r="B11" s="2" t="s">
        <v>43</v>
      </c>
      <c r="C11" s="7">
        <v>45789.33400152778</v>
      </c>
      <c r="D11" s="4">
        <v>45966.0</v>
      </c>
      <c r="E11" s="2" t="s">
        <v>23</v>
      </c>
      <c r="F11" s="2" t="s">
        <v>44</v>
      </c>
      <c r="G11" s="2" t="s">
        <v>45</v>
      </c>
      <c r="H11" s="8" t="s">
        <v>20</v>
      </c>
      <c r="I11" s="8">
        <v>-7.0</v>
      </c>
    </row>
    <row r="12">
      <c r="A12" s="2" t="s">
        <v>21</v>
      </c>
      <c r="B12" s="2" t="s">
        <v>46</v>
      </c>
      <c r="C12" s="7">
        <v>45789.3340140625</v>
      </c>
      <c r="D12" s="4">
        <v>45714.0</v>
      </c>
      <c r="E12" s="2" t="s">
        <v>23</v>
      </c>
      <c r="F12" s="2" t="s">
        <v>47</v>
      </c>
      <c r="G12" s="2" t="s">
        <v>48</v>
      </c>
      <c r="H12" s="8" t="s">
        <v>20</v>
      </c>
      <c r="I12" s="8">
        <v>-259.0</v>
      </c>
    </row>
    <row r="13">
      <c r="A13" s="2" t="s">
        <v>21</v>
      </c>
      <c r="B13" s="2" t="s">
        <v>49</v>
      </c>
      <c r="C13" s="7">
        <v>45789.334021145834</v>
      </c>
      <c r="D13" s="4">
        <v>45784.0</v>
      </c>
      <c r="E13" s="2" t="s">
        <v>23</v>
      </c>
      <c r="F13" s="2" t="s">
        <v>50</v>
      </c>
      <c r="G13" s="2" t="s">
        <v>51</v>
      </c>
      <c r="H13" s="8" t="s">
        <v>20</v>
      </c>
      <c r="I13" s="8">
        <v>-189.0</v>
      </c>
    </row>
    <row r="14">
      <c r="A14" s="2" t="s">
        <v>21</v>
      </c>
      <c r="B14" s="2" t="s">
        <v>52</v>
      </c>
      <c r="C14" s="7">
        <v>45789.334027916666</v>
      </c>
      <c r="D14" s="4">
        <v>45807.0</v>
      </c>
      <c r="E14" s="2" t="s">
        <v>23</v>
      </c>
      <c r="F14" s="2" t="s">
        <v>53</v>
      </c>
      <c r="G14" s="2" t="s">
        <v>54</v>
      </c>
      <c r="H14" s="8" t="s">
        <v>20</v>
      </c>
      <c r="I14" s="8">
        <v>-166.0</v>
      </c>
    </row>
    <row r="15">
      <c r="A15" s="2" t="s">
        <v>21</v>
      </c>
      <c r="B15" s="2" t="s">
        <v>55</v>
      </c>
      <c r="C15" s="7">
        <v>45789.33403457176</v>
      </c>
      <c r="D15" s="4">
        <v>45810.0</v>
      </c>
      <c r="E15" s="2" t="s">
        <v>23</v>
      </c>
      <c r="F15" s="2" t="s">
        <v>56</v>
      </c>
      <c r="G15" s="2" t="s">
        <v>57</v>
      </c>
      <c r="H15" s="8" t="s">
        <v>20</v>
      </c>
      <c r="I15" s="8">
        <v>-163.0</v>
      </c>
    </row>
    <row r="16">
      <c r="A16" s="2" t="s">
        <v>21</v>
      </c>
      <c r="B16" s="2" t="s">
        <v>58</v>
      </c>
      <c r="C16" s="7">
        <v>45789.33404395833</v>
      </c>
      <c r="D16" s="4">
        <v>45861.0</v>
      </c>
      <c r="E16" s="2" t="s">
        <v>23</v>
      </c>
      <c r="F16" s="2" t="s">
        <v>59</v>
      </c>
      <c r="G16" s="2" t="s">
        <v>60</v>
      </c>
      <c r="H16" s="8" t="s">
        <v>20</v>
      </c>
      <c r="I16" s="8">
        <v>-112.0</v>
      </c>
    </row>
    <row r="17">
      <c r="A17" s="2" t="s">
        <v>21</v>
      </c>
      <c r="B17" s="2" t="s">
        <v>61</v>
      </c>
      <c r="C17" s="7">
        <v>45789.33404986111</v>
      </c>
      <c r="D17" s="4">
        <v>45913.0</v>
      </c>
      <c r="E17" s="2" t="s">
        <v>23</v>
      </c>
      <c r="F17" s="2" t="s">
        <v>62</v>
      </c>
      <c r="G17" s="2" t="s">
        <v>63</v>
      </c>
      <c r="H17" s="8" t="s">
        <v>20</v>
      </c>
      <c r="I17" s="8">
        <v>-60.0</v>
      </c>
    </row>
    <row r="18">
      <c r="A18" s="2" t="s">
        <v>21</v>
      </c>
      <c r="B18" s="2" t="s">
        <v>64</v>
      </c>
      <c r="C18" s="7">
        <v>45789.33405671296</v>
      </c>
      <c r="D18" s="4">
        <v>45845.0</v>
      </c>
      <c r="E18" s="2" t="s">
        <v>23</v>
      </c>
      <c r="F18" s="2" t="s">
        <v>65</v>
      </c>
      <c r="G18" s="2" t="s">
        <v>66</v>
      </c>
      <c r="H18" s="8" t="s">
        <v>20</v>
      </c>
      <c r="I18" s="8">
        <v>-128.0</v>
      </c>
    </row>
    <row r="19">
      <c r="A19" s="2" t="s">
        <v>21</v>
      </c>
      <c r="B19" s="2" t="s">
        <v>67</v>
      </c>
      <c r="C19" s="7">
        <v>45789.334062662034</v>
      </c>
      <c r="D19" s="4">
        <v>45715.0</v>
      </c>
      <c r="E19" s="2" t="s">
        <v>23</v>
      </c>
      <c r="F19" s="2" t="s">
        <v>68</v>
      </c>
      <c r="G19" s="2" t="s">
        <v>69</v>
      </c>
      <c r="H19" s="8" t="s">
        <v>20</v>
      </c>
      <c r="I19" s="8">
        <v>-258.0</v>
      </c>
    </row>
    <row r="20">
      <c r="A20" s="2" t="s">
        <v>21</v>
      </c>
      <c r="B20" s="2" t="s">
        <v>70</v>
      </c>
      <c r="C20" s="7">
        <v>45789.33406936342</v>
      </c>
      <c r="D20" s="4">
        <v>45974.0</v>
      </c>
      <c r="E20" s="2" t="s">
        <v>23</v>
      </c>
      <c r="F20" s="2" t="s">
        <v>71</v>
      </c>
      <c r="G20" s="2" t="s">
        <v>72</v>
      </c>
      <c r="H20" s="8" t="s">
        <v>38</v>
      </c>
      <c r="I20" s="8">
        <v>1.0</v>
      </c>
    </row>
    <row r="21">
      <c r="A21" s="2" t="s">
        <v>21</v>
      </c>
      <c r="B21" s="2" t="s">
        <v>73</v>
      </c>
      <c r="C21" s="7">
        <v>45789.33407704861</v>
      </c>
      <c r="D21" s="4">
        <v>46005.0</v>
      </c>
      <c r="E21" s="2" t="s">
        <v>23</v>
      </c>
      <c r="F21" s="2" t="s">
        <v>74</v>
      </c>
      <c r="G21" s="2" t="s">
        <v>75</v>
      </c>
      <c r="H21" s="8" t="s">
        <v>38</v>
      </c>
      <c r="I21" s="8">
        <v>32.0</v>
      </c>
    </row>
    <row r="22">
      <c r="A22" s="2" t="s">
        <v>21</v>
      </c>
      <c r="B22" s="2" t="s">
        <v>76</v>
      </c>
      <c r="C22" s="7">
        <v>45789.334083090274</v>
      </c>
      <c r="D22" s="4">
        <v>45984.0</v>
      </c>
      <c r="E22" s="2" t="s">
        <v>23</v>
      </c>
      <c r="F22" s="2" t="s">
        <v>77</v>
      </c>
      <c r="G22" s="2" t="s">
        <v>78</v>
      </c>
      <c r="H22" s="8" t="s">
        <v>38</v>
      </c>
      <c r="I22" s="8">
        <v>11.0</v>
      </c>
    </row>
    <row r="23">
      <c r="A23" s="2" t="s">
        <v>21</v>
      </c>
      <c r="B23" s="2" t="s">
        <v>79</v>
      </c>
      <c r="C23" s="7">
        <v>45789.33409070602</v>
      </c>
      <c r="D23" s="4">
        <v>45717.0</v>
      </c>
      <c r="E23" s="2" t="s">
        <v>23</v>
      </c>
      <c r="F23" s="2" t="s">
        <v>80</v>
      </c>
      <c r="G23" s="2" t="s">
        <v>81</v>
      </c>
      <c r="H23" s="8" t="s">
        <v>20</v>
      </c>
      <c r="I23" s="8">
        <v>-256.0</v>
      </c>
    </row>
    <row r="24">
      <c r="A24" s="2" t="s">
        <v>21</v>
      </c>
      <c r="B24" s="2" t="s">
        <v>82</v>
      </c>
      <c r="C24" s="7">
        <v>45789.33410087963</v>
      </c>
      <c r="D24" s="4">
        <v>45881.0</v>
      </c>
      <c r="E24" s="2" t="s">
        <v>23</v>
      </c>
      <c r="F24" s="2" t="s">
        <v>83</v>
      </c>
      <c r="G24" s="2" t="s">
        <v>84</v>
      </c>
      <c r="H24" s="8" t="s">
        <v>20</v>
      </c>
      <c r="I24" s="8">
        <v>-92.0</v>
      </c>
    </row>
    <row r="25">
      <c r="A25" s="2" t="s">
        <v>21</v>
      </c>
      <c r="B25" s="2" t="s">
        <v>85</v>
      </c>
      <c r="C25" s="7">
        <v>45789.33410758102</v>
      </c>
      <c r="D25" s="4">
        <v>45795.0</v>
      </c>
      <c r="E25" s="2" t="s">
        <v>23</v>
      </c>
      <c r="F25" s="2" t="s">
        <v>86</v>
      </c>
      <c r="G25" s="2" t="s">
        <v>87</v>
      </c>
      <c r="H25" s="8" t="s">
        <v>20</v>
      </c>
      <c r="I25" s="8">
        <v>-178.0</v>
      </c>
    </row>
    <row r="26">
      <c r="A26" s="2" t="s">
        <v>21</v>
      </c>
      <c r="B26" s="2" t="s">
        <v>88</v>
      </c>
      <c r="C26" s="7">
        <v>45789.334114212965</v>
      </c>
      <c r="D26" s="4">
        <v>45738.0</v>
      </c>
      <c r="E26" s="2" t="s">
        <v>23</v>
      </c>
      <c r="F26" s="2" t="s">
        <v>89</v>
      </c>
      <c r="G26" s="2" t="s">
        <v>90</v>
      </c>
      <c r="H26" s="8" t="s">
        <v>20</v>
      </c>
      <c r="I26" s="8">
        <v>-235.0</v>
      </c>
    </row>
    <row r="27">
      <c r="A27" s="2" t="s">
        <v>21</v>
      </c>
      <c r="B27" s="2" t="s">
        <v>91</v>
      </c>
      <c r="C27" s="7">
        <v>45789.33412104167</v>
      </c>
      <c r="D27" s="4">
        <v>45794.0</v>
      </c>
      <c r="E27" s="2" t="s">
        <v>23</v>
      </c>
      <c r="F27" s="2" t="s">
        <v>92</v>
      </c>
      <c r="G27" s="2" t="s">
        <v>93</v>
      </c>
      <c r="H27" s="8" t="s">
        <v>20</v>
      </c>
      <c r="I27" s="8">
        <v>-179.0</v>
      </c>
    </row>
    <row r="28">
      <c r="A28" s="2" t="s">
        <v>21</v>
      </c>
      <c r="B28" s="2" t="s">
        <v>94</v>
      </c>
      <c r="C28" s="7">
        <v>45789.334129016206</v>
      </c>
      <c r="D28" s="4">
        <v>45661.0</v>
      </c>
      <c r="E28" s="2" t="s">
        <v>23</v>
      </c>
      <c r="F28" s="2" t="s">
        <v>95</v>
      </c>
      <c r="G28" s="2" t="s">
        <v>96</v>
      </c>
      <c r="H28" s="8" t="s">
        <v>20</v>
      </c>
      <c r="I28" s="8">
        <v>-312.0</v>
      </c>
    </row>
    <row r="29">
      <c r="A29" s="2" t="s">
        <v>21</v>
      </c>
      <c r="B29" s="2" t="s">
        <v>97</v>
      </c>
      <c r="C29" s="7">
        <v>45789.33413555556</v>
      </c>
      <c r="D29" s="4">
        <v>45966.0</v>
      </c>
      <c r="E29" s="2" t="s">
        <v>23</v>
      </c>
      <c r="F29" s="2" t="s">
        <v>98</v>
      </c>
      <c r="G29" s="2" t="s">
        <v>99</v>
      </c>
      <c r="H29" s="8" t="s">
        <v>20</v>
      </c>
      <c r="I29" s="8">
        <v>-7.0</v>
      </c>
    </row>
    <row r="30">
      <c r="A30" s="2" t="s">
        <v>21</v>
      </c>
      <c r="B30" s="2" t="s">
        <v>100</v>
      </c>
      <c r="C30" s="7">
        <v>45789.334142708336</v>
      </c>
      <c r="D30" s="4">
        <v>45664.0</v>
      </c>
      <c r="E30" s="2" t="s">
        <v>23</v>
      </c>
      <c r="F30" s="2" t="s">
        <v>101</v>
      </c>
      <c r="G30" s="2" t="s">
        <v>102</v>
      </c>
      <c r="H30" s="8" t="s">
        <v>20</v>
      </c>
      <c r="I30" s="8">
        <v>-309.0</v>
      </c>
    </row>
    <row r="31">
      <c r="A31" s="9" t="s">
        <v>10</v>
      </c>
      <c r="B31" s="9" t="s">
        <v>103</v>
      </c>
      <c r="C31" s="10">
        <v>45791.35468346065</v>
      </c>
      <c r="D31" s="11">
        <v>45797.99930555555</v>
      </c>
      <c r="E31" s="9" t="s">
        <v>104</v>
      </c>
      <c r="F31" s="9" t="s">
        <v>105</v>
      </c>
      <c r="G31" s="2" t="s">
        <v>106</v>
      </c>
      <c r="H31" s="8" t="s">
        <v>20</v>
      </c>
      <c r="I31" s="8">
        <v>-175.0006944444467</v>
      </c>
      <c r="J31" s="12" t="s">
        <v>107</v>
      </c>
    </row>
    <row r="32">
      <c r="A32" s="9" t="s">
        <v>10</v>
      </c>
      <c r="B32" s="9" t="s">
        <v>108</v>
      </c>
      <c r="C32" s="10">
        <v>45792.35277226852</v>
      </c>
      <c r="D32" s="11">
        <v>45794.74930555555</v>
      </c>
      <c r="E32" s="9" t="s">
        <v>109</v>
      </c>
      <c r="F32" s="9" t="s">
        <v>110</v>
      </c>
      <c r="G32" s="13" t="s">
        <v>111</v>
      </c>
      <c r="H32" s="8" t="s">
        <v>20</v>
      </c>
      <c r="I32" s="8">
        <v>-178.2506944444467</v>
      </c>
      <c r="J32" s="12" t="s">
        <v>112</v>
      </c>
    </row>
    <row r="33">
      <c r="A33" s="2" t="s">
        <v>10</v>
      </c>
      <c r="B33" s="2" t="s">
        <v>113</v>
      </c>
      <c r="C33" s="7">
        <v>45792.42418173611</v>
      </c>
      <c r="D33" s="4">
        <v>45794.74930555555</v>
      </c>
      <c r="E33" s="13" t="s">
        <v>114</v>
      </c>
      <c r="F33" s="13" t="s">
        <v>115</v>
      </c>
      <c r="G33" s="13" t="s">
        <v>116</v>
      </c>
      <c r="H33" s="8" t="s">
        <v>20</v>
      </c>
      <c r="I33" s="8">
        <v>-178.2506944444467</v>
      </c>
    </row>
    <row r="34">
      <c r="A34" s="2" t="s">
        <v>15</v>
      </c>
      <c r="B34" s="2" t="s">
        <v>117</v>
      </c>
      <c r="C34" s="7">
        <v>45792.424814618054</v>
      </c>
      <c r="D34" s="4">
        <v>45796.3125</v>
      </c>
      <c r="E34" s="13" t="s">
        <v>114</v>
      </c>
      <c r="F34" s="13" t="s">
        <v>118</v>
      </c>
      <c r="G34" s="13" t="s">
        <v>119</v>
      </c>
      <c r="H34" s="8" t="s">
        <v>20</v>
      </c>
      <c r="I34" s="8">
        <v>-176.6875</v>
      </c>
    </row>
    <row r="35">
      <c r="A35" s="1" t="s">
        <v>10</v>
      </c>
      <c r="B35" s="1" t="s">
        <v>120</v>
      </c>
      <c r="C35" s="14">
        <v>45794.51682505787</v>
      </c>
      <c r="D35" s="15">
        <v>45798.99930555555</v>
      </c>
      <c r="E35" s="1" t="s">
        <v>121</v>
      </c>
      <c r="F35" s="1" t="s">
        <v>122</v>
      </c>
      <c r="G35" s="1" t="s">
        <v>123</v>
      </c>
      <c r="H35" s="8" t="s">
        <v>20</v>
      </c>
      <c r="I35" s="8">
        <v>-174.0006944444467</v>
      </c>
      <c r="J35" s="12" t="s">
        <v>124</v>
      </c>
    </row>
    <row r="36">
      <c r="A36" s="1" t="s">
        <v>10</v>
      </c>
      <c r="B36" s="1" t="s">
        <v>125</v>
      </c>
      <c r="C36" s="14">
        <v>45794.52269063657</v>
      </c>
      <c r="D36" s="15">
        <v>45798.99930555555</v>
      </c>
      <c r="E36" s="1" t="s">
        <v>121</v>
      </c>
      <c r="F36" s="1" t="s">
        <v>126</v>
      </c>
      <c r="G36" s="1" t="s">
        <v>127</v>
      </c>
      <c r="H36" s="8" t="s">
        <v>20</v>
      </c>
      <c r="I36" s="8">
        <v>-174.0006944444467</v>
      </c>
      <c r="J36" s="12" t="s">
        <v>128</v>
      </c>
    </row>
    <row r="37">
      <c r="A37" s="1" t="s">
        <v>15</v>
      </c>
      <c r="B37" s="1" t="s">
        <v>129</v>
      </c>
      <c r="C37" s="14">
        <v>45795.89126123843</v>
      </c>
      <c r="D37" s="15">
        <v>45796.59722222222</v>
      </c>
      <c r="F37" s="1" t="s">
        <v>130</v>
      </c>
      <c r="G37" s="1" t="s">
        <v>131</v>
      </c>
      <c r="H37" s="8" t="s">
        <v>20</v>
      </c>
      <c r="I37" s="8">
        <v>-176.402777777781</v>
      </c>
    </row>
    <row r="38">
      <c r="A38" s="1" t="s">
        <v>21</v>
      </c>
      <c r="B38" s="1" t="s">
        <v>132</v>
      </c>
      <c r="C38" s="14">
        <v>45796.79568606481</v>
      </c>
      <c r="D38" s="15">
        <v>45782.663194444445</v>
      </c>
      <c r="F38" s="1" t="s">
        <v>133</v>
      </c>
      <c r="G38" s="1" t="s">
        <v>134</v>
      </c>
      <c r="H38" s="8" t="s">
        <v>20</v>
      </c>
      <c r="I38" s="8">
        <v>-190.33680555555475</v>
      </c>
      <c r="J38" s="12" t="s">
        <v>135</v>
      </c>
    </row>
    <row r="39">
      <c r="A39" s="1" t="s">
        <v>21</v>
      </c>
      <c r="B39" s="1" t="s">
        <v>136</v>
      </c>
      <c r="C39" s="14">
        <v>45796.79810328704</v>
      </c>
      <c r="D39" s="15">
        <v>45783.26041666667</v>
      </c>
      <c r="F39" s="1" t="s">
        <v>137</v>
      </c>
      <c r="G39" s="1" t="s">
        <v>138</v>
      </c>
      <c r="H39" s="8" t="s">
        <v>20</v>
      </c>
      <c r="I39" s="8">
        <v>-189.73958333332848</v>
      </c>
    </row>
    <row r="40">
      <c r="A40" s="1" t="s">
        <v>21</v>
      </c>
      <c r="B40" s="1" t="s">
        <v>132</v>
      </c>
      <c r="C40" s="14">
        <v>45796.79859493056</v>
      </c>
      <c r="D40" s="15">
        <v>45796.663194444445</v>
      </c>
      <c r="F40" s="1" t="s">
        <v>133</v>
      </c>
      <c r="G40" s="1" t="s">
        <v>139</v>
      </c>
      <c r="H40" s="8" t="s">
        <v>20</v>
      </c>
      <c r="I40" s="8">
        <v>-176.33680555555475</v>
      </c>
      <c r="J40" s="12" t="s">
        <v>140</v>
      </c>
    </row>
    <row r="41">
      <c r="A41" s="1" t="s">
        <v>21</v>
      </c>
      <c r="B41" s="1" t="s">
        <v>141</v>
      </c>
      <c r="C41" s="14">
        <v>45796.79982342593</v>
      </c>
      <c r="D41" s="15">
        <v>45796.26041666667</v>
      </c>
      <c r="F41" s="1" t="s">
        <v>142</v>
      </c>
      <c r="G41" s="1" t="s">
        <v>143</v>
      </c>
      <c r="H41" s="8" t="s">
        <v>20</v>
      </c>
      <c r="I41" s="8">
        <v>-176.73958333332848</v>
      </c>
    </row>
    <row r="42">
      <c r="A42" s="1" t="s">
        <v>21</v>
      </c>
      <c r="B42" s="1" t="s">
        <v>136</v>
      </c>
      <c r="C42" s="14">
        <v>45796.800215972224</v>
      </c>
      <c r="D42" s="15">
        <v>45797.26041666667</v>
      </c>
      <c r="F42" s="1" t="s">
        <v>137</v>
      </c>
      <c r="G42" s="1" t="s">
        <v>144</v>
      </c>
      <c r="H42" s="8" t="s">
        <v>20</v>
      </c>
      <c r="I42" s="8">
        <v>-175.73958333332848</v>
      </c>
    </row>
    <row r="43">
      <c r="A43" s="1" t="s">
        <v>21</v>
      </c>
      <c r="B43" s="1" t="s">
        <v>145</v>
      </c>
      <c r="C43" s="14">
        <v>45796.80221214121</v>
      </c>
      <c r="D43" s="15">
        <v>45800.30208333333</v>
      </c>
      <c r="F43" s="1" t="s">
        <v>146</v>
      </c>
      <c r="G43" s="1" t="s">
        <v>147</v>
      </c>
      <c r="H43" s="8" t="s">
        <v>20</v>
      </c>
      <c r="I43" s="8">
        <v>-172.69791666667152</v>
      </c>
    </row>
    <row r="44">
      <c r="A44" s="1" t="s">
        <v>21</v>
      </c>
      <c r="B44" s="1" t="s">
        <v>132</v>
      </c>
      <c r="C44" s="14">
        <v>45796.80283855324</v>
      </c>
      <c r="D44" s="15">
        <v>45803.663194444445</v>
      </c>
      <c r="F44" s="1" t="s">
        <v>133</v>
      </c>
      <c r="G44" s="1" t="s">
        <v>148</v>
      </c>
      <c r="H44" s="8" t="s">
        <v>20</v>
      </c>
      <c r="I44" s="8">
        <v>-169.33680555555475</v>
      </c>
      <c r="J44" s="12" t="s">
        <v>149</v>
      </c>
    </row>
    <row r="45">
      <c r="A45" s="1" t="s">
        <v>21</v>
      </c>
      <c r="B45" s="1" t="s">
        <v>136</v>
      </c>
      <c r="C45" s="14">
        <v>45796.80327896991</v>
      </c>
      <c r="D45" s="15">
        <v>45804.26041666667</v>
      </c>
      <c r="F45" s="1" t="s">
        <v>137</v>
      </c>
      <c r="G45" s="1" t="s">
        <v>150</v>
      </c>
      <c r="H45" s="8" t="s">
        <v>20</v>
      </c>
      <c r="I45" s="8">
        <v>-168.73958333332848</v>
      </c>
    </row>
    <row r="46">
      <c r="A46" s="1" t="s">
        <v>10</v>
      </c>
      <c r="B46" s="1" t="s">
        <v>151</v>
      </c>
      <c r="C46" s="14">
        <v>45797.813073171295</v>
      </c>
      <c r="D46" s="15">
        <v>45801.74930555555</v>
      </c>
      <c r="E46" s="1" t="s">
        <v>109</v>
      </c>
      <c r="F46" s="1" t="s">
        <v>152</v>
      </c>
      <c r="G46" s="1" t="s">
        <v>153</v>
      </c>
      <c r="H46" s="8" t="s">
        <v>20</v>
      </c>
      <c r="I46" s="8">
        <v>-171.2506944444467</v>
      </c>
    </row>
    <row r="47">
      <c r="A47" s="1" t="s">
        <v>10</v>
      </c>
      <c r="B47" s="1" t="s">
        <v>154</v>
      </c>
      <c r="C47" s="14">
        <v>45798.395279502314</v>
      </c>
      <c r="D47" s="15">
        <v>45799.5</v>
      </c>
      <c r="E47" s="1" t="s">
        <v>155</v>
      </c>
      <c r="F47" s="1" t="s">
        <v>156</v>
      </c>
      <c r="G47" s="1" t="s">
        <v>157</v>
      </c>
      <c r="H47" s="8" t="s">
        <v>20</v>
      </c>
      <c r="I47" s="8">
        <v>-173.5</v>
      </c>
    </row>
    <row r="48">
      <c r="A48" s="1" t="s">
        <v>10</v>
      </c>
      <c r="B48" s="1" t="s">
        <v>158</v>
      </c>
      <c r="C48" s="14">
        <v>45798.63109876157</v>
      </c>
      <c r="D48" s="15">
        <v>45799.57986111111</v>
      </c>
      <c r="E48" s="1" t="s">
        <v>17</v>
      </c>
      <c r="F48" s="1" t="s">
        <v>159</v>
      </c>
      <c r="G48" s="1" t="s">
        <v>160</v>
      </c>
      <c r="H48" s="8" t="s">
        <v>20</v>
      </c>
      <c r="I48" s="8">
        <v>-173.4201388888905</v>
      </c>
      <c r="J48" s="12" t="s">
        <v>161</v>
      </c>
    </row>
    <row r="49">
      <c r="A49" s="1" t="s">
        <v>10</v>
      </c>
      <c r="B49" s="1" t="s">
        <v>162</v>
      </c>
      <c r="C49" s="14">
        <v>45798.63180400463</v>
      </c>
      <c r="D49" s="15">
        <v>45799.58333333333</v>
      </c>
      <c r="E49" s="1" t="s">
        <v>17</v>
      </c>
      <c r="F49" s="1" t="s">
        <v>159</v>
      </c>
      <c r="G49" s="1" t="s">
        <v>163</v>
      </c>
      <c r="H49" s="8" t="s">
        <v>20</v>
      </c>
      <c r="I49" s="8">
        <v>-173.41666666667152</v>
      </c>
      <c r="J49" s="12" t="s">
        <v>164</v>
      </c>
    </row>
    <row r="50">
      <c r="A50" s="1" t="s">
        <v>21</v>
      </c>
      <c r="B50" s="1" t="s">
        <v>165</v>
      </c>
      <c r="C50" s="14">
        <v>45799.56564237269</v>
      </c>
      <c r="D50" s="15">
        <v>45799.99930555555</v>
      </c>
      <c r="E50" s="1" t="s">
        <v>166</v>
      </c>
      <c r="F50" s="1" t="s">
        <v>167</v>
      </c>
      <c r="G50" s="1" t="s">
        <v>168</v>
      </c>
      <c r="H50" s="8" t="s">
        <v>20</v>
      </c>
      <c r="I50" s="8">
        <v>-173.0006944444467</v>
      </c>
    </row>
    <row r="51">
      <c r="A51" s="1" t="s">
        <v>10</v>
      </c>
      <c r="B51" s="1" t="s">
        <v>169</v>
      </c>
      <c r="C51" s="14">
        <v>45799.587063391205</v>
      </c>
      <c r="D51" s="15">
        <v>45804.99930555555</v>
      </c>
      <c r="E51" s="1" t="s">
        <v>104</v>
      </c>
      <c r="F51" s="1" t="s">
        <v>170</v>
      </c>
      <c r="G51" s="1" t="s">
        <v>171</v>
      </c>
      <c r="H51" s="8" t="s">
        <v>20</v>
      </c>
      <c r="I51" s="8">
        <v>-168.0006944444467</v>
      </c>
      <c r="J51" s="12" t="s">
        <v>172</v>
      </c>
    </row>
    <row r="52">
      <c r="A52" s="1" t="s">
        <v>10</v>
      </c>
      <c r="B52" s="1" t="s">
        <v>154</v>
      </c>
      <c r="C52" s="14">
        <v>45799.83930003472</v>
      </c>
      <c r="D52" s="15">
        <v>45805.5</v>
      </c>
      <c r="E52" s="1" t="s">
        <v>155</v>
      </c>
      <c r="F52" s="1" t="s">
        <v>173</v>
      </c>
      <c r="G52" s="1" t="s">
        <v>174</v>
      </c>
      <c r="H52" s="8" t="s">
        <v>20</v>
      </c>
      <c r="I52" s="8">
        <v>-167.5</v>
      </c>
    </row>
    <row r="53">
      <c r="A53" s="1" t="s">
        <v>10</v>
      </c>
      <c r="B53" s="1" t="s">
        <v>175</v>
      </c>
      <c r="C53" s="14">
        <v>45800.57564084491</v>
      </c>
      <c r="D53" s="15">
        <v>45811.95763888889</v>
      </c>
      <c r="E53" s="1" t="s">
        <v>166</v>
      </c>
      <c r="F53" s="1" t="s">
        <v>176</v>
      </c>
      <c r="G53" s="1" t="s">
        <v>177</v>
      </c>
      <c r="H53" s="8" t="s">
        <v>20</v>
      </c>
      <c r="I53" s="8">
        <v>-161.04236111111095</v>
      </c>
      <c r="J53" s="12" t="s">
        <v>178</v>
      </c>
    </row>
    <row r="54">
      <c r="A54" s="1" t="s">
        <v>10</v>
      </c>
      <c r="B54" s="1" t="s">
        <v>179</v>
      </c>
      <c r="C54" s="14">
        <v>45800.73968697917</v>
      </c>
      <c r="D54" s="15">
        <v>45804.58333333333</v>
      </c>
      <c r="E54" s="1" t="s">
        <v>17</v>
      </c>
      <c r="F54" s="1" t="s">
        <v>180</v>
      </c>
      <c r="G54" s="1" t="s">
        <v>181</v>
      </c>
      <c r="H54" s="8" t="s">
        <v>20</v>
      </c>
      <c r="I54" s="8">
        <v>-168.41666666667152</v>
      </c>
      <c r="J54" s="12" t="s">
        <v>182</v>
      </c>
    </row>
    <row r="55">
      <c r="A55" s="1" t="s">
        <v>10</v>
      </c>
      <c r="B55" s="1" t="s">
        <v>183</v>
      </c>
      <c r="C55" s="14">
        <v>45803.267187199075</v>
      </c>
      <c r="D55" s="15">
        <v>45805.5</v>
      </c>
      <c r="E55" s="1" t="s">
        <v>121</v>
      </c>
      <c r="F55" s="1" t="s">
        <v>184</v>
      </c>
      <c r="G55" s="1" t="s">
        <v>185</v>
      </c>
      <c r="H55" s="8" t="s">
        <v>20</v>
      </c>
      <c r="I55" s="8">
        <v>-167.5</v>
      </c>
      <c r="J55" s="12" t="s">
        <v>186</v>
      </c>
    </row>
    <row r="56">
      <c r="A56" s="1" t="s">
        <v>10</v>
      </c>
      <c r="B56" s="1" t="s">
        <v>187</v>
      </c>
      <c r="C56" s="14">
        <v>45803.267676840274</v>
      </c>
      <c r="D56" s="15">
        <v>45805.5</v>
      </c>
      <c r="E56" s="1" t="s">
        <v>121</v>
      </c>
      <c r="F56" s="1" t="s">
        <v>188</v>
      </c>
      <c r="G56" s="1" t="s">
        <v>189</v>
      </c>
      <c r="H56" s="8" t="s">
        <v>20</v>
      </c>
      <c r="I56" s="8">
        <v>-167.5</v>
      </c>
      <c r="J56" s="12" t="s">
        <v>190</v>
      </c>
    </row>
    <row r="57">
      <c r="A57" s="1" t="s">
        <v>15</v>
      </c>
      <c r="B57" s="1" t="s">
        <v>16</v>
      </c>
      <c r="C57" s="14">
        <v>45805.343068437505</v>
      </c>
      <c r="D57" s="15">
        <v>45811.58333333333</v>
      </c>
      <c r="E57" s="1" t="s">
        <v>17</v>
      </c>
      <c r="F57" s="1" t="s">
        <v>191</v>
      </c>
      <c r="G57" s="1" t="s">
        <v>192</v>
      </c>
      <c r="H57" s="8" t="s">
        <v>20</v>
      </c>
      <c r="I57" s="8">
        <v>-161.41666666667152</v>
      </c>
    </row>
    <row r="58">
      <c r="A58" s="1" t="s">
        <v>10</v>
      </c>
      <c r="B58" s="1" t="s">
        <v>193</v>
      </c>
      <c r="C58" s="14">
        <v>45805.35519072917</v>
      </c>
      <c r="D58" s="15">
        <v>45808.74930555555</v>
      </c>
      <c r="E58" s="1" t="s">
        <v>109</v>
      </c>
      <c r="F58" s="1" t="s">
        <v>194</v>
      </c>
      <c r="G58" s="1" t="s">
        <v>195</v>
      </c>
      <c r="H58" s="8" t="s">
        <v>20</v>
      </c>
      <c r="I58" s="8">
        <v>-164.2506944444467</v>
      </c>
    </row>
    <row r="59">
      <c r="A59" s="1" t="s">
        <v>10</v>
      </c>
      <c r="B59" s="1" t="s">
        <v>196</v>
      </c>
      <c r="C59" s="14">
        <v>45807.661480173614</v>
      </c>
      <c r="D59" s="15">
        <v>45809.95763888889</v>
      </c>
      <c r="E59" s="1" t="s">
        <v>197</v>
      </c>
      <c r="F59" s="1" t="s">
        <v>198</v>
      </c>
      <c r="G59" s="1" t="s">
        <v>199</v>
      </c>
      <c r="H59" s="8" t="s">
        <v>20</v>
      </c>
      <c r="I59" s="8">
        <v>-163.04236111111095</v>
      </c>
      <c r="J59" s="12" t="s">
        <v>200</v>
      </c>
    </row>
    <row r="60">
      <c r="A60" s="1" t="s">
        <v>10</v>
      </c>
      <c r="B60" s="1" t="s">
        <v>154</v>
      </c>
      <c r="C60" s="14">
        <v>45807.833495486106</v>
      </c>
      <c r="D60" s="15">
        <v>45813.5</v>
      </c>
      <c r="E60" s="1" t="s">
        <v>155</v>
      </c>
      <c r="F60" s="1" t="s">
        <v>201</v>
      </c>
      <c r="G60" s="1" t="s">
        <v>202</v>
      </c>
      <c r="H60" s="8" t="s">
        <v>20</v>
      </c>
      <c r="I60" s="8">
        <v>-159.5</v>
      </c>
    </row>
    <row r="61">
      <c r="A61" s="1" t="s">
        <v>10</v>
      </c>
      <c r="B61" s="1" t="s">
        <v>203</v>
      </c>
      <c r="C61" s="14">
        <v>45809.9314872338</v>
      </c>
      <c r="D61" s="15">
        <v>45811.99930555555</v>
      </c>
      <c r="E61" s="1" t="s">
        <v>104</v>
      </c>
      <c r="F61" s="1" t="s">
        <v>204</v>
      </c>
      <c r="G61" s="1" t="s">
        <v>205</v>
      </c>
      <c r="H61" s="8" t="s">
        <v>20</v>
      </c>
      <c r="I61" s="8">
        <v>-161.0006944444467</v>
      </c>
      <c r="J61" s="12" t="s">
        <v>206</v>
      </c>
    </row>
    <row r="62">
      <c r="A62" s="1" t="s">
        <v>15</v>
      </c>
      <c r="B62" s="1" t="s">
        <v>207</v>
      </c>
      <c r="C62" s="14">
        <v>45811.498690821754</v>
      </c>
      <c r="D62" s="15">
        <v>45813.4375</v>
      </c>
      <c r="E62" s="1" t="s">
        <v>121</v>
      </c>
      <c r="F62" s="1" t="s">
        <v>208</v>
      </c>
      <c r="G62" s="1" t="s">
        <v>209</v>
      </c>
      <c r="H62" s="8" t="s">
        <v>20</v>
      </c>
      <c r="I62" s="8">
        <v>-159.5625</v>
      </c>
    </row>
    <row r="63">
      <c r="A63" s="1" t="s">
        <v>10</v>
      </c>
      <c r="B63" s="1" t="s">
        <v>154</v>
      </c>
      <c r="C63" s="14">
        <v>45813.45950655093</v>
      </c>
      <c r="D63" s="15">
        <v>45848.5</v>
      </c>
      <c r="E63" s="1" t="s">
        <v>155</v>
      </c>
      <c r="F63" s="1" t="s">
        <v>210</v>
      </c>
      <c r="G63" s="1" t="s">
        <v>211</v>
      </c>
      <c r="H63" s="8" t="s">
        <v>20</v>
      </c>
      <c r="I63" s="8">
        <v>-124.5</v>
      </c>
    </row>
    <row r="64">
      <c r="A64" s="1" t="s">
        <v>10</v>
      </c>
      <c r="B64" s="1" t="s">
        <v>154</v>
      </c>
      <c r="C64" s="14">
        <v>45813.46146651621</v>
      </c>
      <c r="D64" s="15">
        <v>45841.5</v>
      </c>
      <c r="E64" s="1" t="s">
        <v>155</v>
      </c>
      <c r="F64" s="1" t="s">
        <v>212</v>
      </c>
      <c r="G64" s="1" t="s">
        <v>213</v>
      </c>
      <c r="H64" s="8" t="s">
        <v>20</v>
      </c>
      <c r="I64" s="8">
        <v>-131.5</v>
      </c>
    </row>
    <row r="65">
      <c r="A65" s="1" t="s">
        <v>10</v>
      </c>
      <c r="B65" s="1" t="s">
        <v>214</v>
      </c>
      <c r="C65" s="14">
        <v>45815.37543450232</v>
      </c>
      <c r="D65" s="15">
        <v>45823.99930555555</v>
      </c>
      <c r="E65" s="1" t="s">
        <v>197</v>
      </c>
      <c r="F65" s="1" t="s">
        <v>215</v>
      </c>
      <c r="G65" s="1" t="s">
        <v>216</v>
      </c>
      <c r="H65" s="8" t="s">
        <v>20</v>
      </c>
      <c r="I65" s="8">
        <v>-149.0006944444467</v>
      </c>
    </row>
    <row r="66">
      <c r="A66" s="1" t="s">
        <v>10</v>
      </c>
      <c r="B66" s="1" t="s">
        <v>193</v>
      </c>
      <c r="C66" s="14">
        <v>45835.48186645833</v>
      </c>
      <c r="D66" s="15">
        <v>45837.99930555555</v>
      </c>
      <c r="E66" s="1" t="s">
        <v>109</v>
      </c>
      <c r="F66" s="1" t="s">
        <v>217</v>
      </c>
      <c r="G66" s="1" t="s">
        <v>218</v>
      </c>
      <c r="H66" s="8" t="s">
        <v>20</v>
      </c>
      <c r="I66" s="8">
        <v>-135.0006944444467</v>
      </c>
      <c r="J66" s="12" t="s">
        <v>219</v>
      </c>
    </row>
    <row r="67">
      <c r="A67" s="1" t="s">
        <v>10</v>
      </c>
      <c r="B67" s="1" t="s">
        <v>220</v>
      </c>
      <c r="C67" s="14">
        <v>45835.6988997338</v>
      </c>
      <c r="D67" s="15">
        <v>45840.99930555555</v>
      </c>
      <c r="E67" s="1" t="s">
        <v>121</v>
      </c>
      <c r="F67" s="1" t="s">
        <v>221</v>
      </c>
      <c r="G67" s="1" t="s">
        <v>222</v>
      </c>
      <c r="H67" s="8" t="s">
        <v>20</v>
      </c>
      <c r="I67" s="8">
        <v>-132.0006944444467</v>
      </c>
      <c r="J67" s="12" t="s">
        <v>223</v>
      </c>
    </row>
    <row r="68">
      <c r="A68" s="1" t="s">
        <v>21</v>
      </c>
      <c r="B68" s="1" t="s">
        <v>132</v>
      </c>
      <c r="C68" s="14">
        <v>45837.84526076389</v>
      </c>
      <c r="D68" s="15">
        <v>45838.663194444445</v>
      </c>
      <c r="F68" s="1" t="s">
        <v>133</v>
      </c>
      <c r="G68" s="1" t="s">
        <v>224</v>
      </c>
      <c r="H68" s="8" t="s">
        <v>20</v>
      </c>
      <c r="I68" s="8">
        <v>-134.33680555555475</v>
      </c>
      <c r="J68" s="12" t="s">
        <v>225</v>
      </c>
    </row>
    <row r="69">
      <c r="A69" s="1" t="s">
        <v>21</v>
      </c>
      <c r="B69" s="1" t="s">
        <v>136</v>
      </c>
      <c r="C69" s="14">
        <v>45838.79737825232</v>
      </c>
      <c r="D69" s="15">
        <v>45839.26041666667</v>
      </c>
      <c r="F69" s="1" t="s">
        <v>137</v>
      </c>
      <c r="G69" s="1" t="s">
        <v>226</v>
      </c>
      <c r="H69" s="8" t="s">
        <v>20</v>
      </c>
      <c r="I69" s="8">
        <v>-133.73958333332848</v>
      </c>
    </row>
    <row r="70">
      <c r="A70" s="1" t="s">
        <v>10</v>
      </c>
      <c r="B70" s="1" t="s">
        <v>113</v>
      </c>
      <c r="C70" s="14">
        <v>45838.875551944446</v>
      </c>
      <c r="D70" s="15">
        <v>45843.74930555555</v>
      </c>
      <c r="E70" s="1" t="s">
        <v>109</v>
      </c>
      <c r="F70" s="1" t="s">
        <v>227</v>
      </c>
      <c r="G70" s="1" t="s">
        <v>228</v>
      </c>
      <c r="H70" s="8" t="s">
        <v>20</v>
      </c>
      <c r="I70" s="8">
        <v>-129.2506944444467</v>
      </c>
      <c r="J70" s="12" t="s">
        <v>229</v>
      </c>
    </row>
    <row r="71">
      <c r="A71" s="1" t="s">
        <v>10</v>
      </c>
      <c r="B71" s="1" t="s">
        <v>151</v>
      </c>
      <c r="C71" s="14">
        <v>45838.876854745366</v>
      </c>
      <c r="D71" s="15">
        <v>45843.74930555555</v>
      </c>
      <c r="E71" s="1" t="s">
        <v>114</v>
      </c>
      <c r="F71" s="1" t="s">
        <v>230</v>
      </c>
      <c r="G71" s="1" t="s">
        <v>231</v>
      </c>
      <c r="H71" s="8" t="s">
        <v>20</v>
      </c>
      <c r="I71" s="8">
        <v>-129.2506944444467</v>
      </c>
    </row>
    <row r="72">
      <c r="A72" s="1" t="s">
        <v>10</v>
      </c>
      <c r="B72" s="1" t="s">
        <v>154</v>
      </c>
      <c r="C72" s="14">
        <v>45839.83786048611</v>
      </c>
      <c r="D72" s="15">
        <v>45855.5</v>
      </c>
      <c r="E72" s="1" t="s">
        <v>155</v>
      </c>
      <c r="F72" s="1" t="s">
        <v>232</v>
      </c>
      <c r="G72" s="1" t="s">
        <v>233</v>
      </c>
      <c r="H72" s="8" t="s">
        <v>20</v>
      </c>
      <c r="I72" s="8">
        <v>-117.5</v>
      </c>
    </row>
    <row r="73">
      <c r="A73" s="1" t="s">
        <v>10</v>
      </c>
      <c r="B73" s="1" t="s">
        <v>154</v>
      </c>
      <c r="C73" s="14">
        <v>45839.84071880787</v>
      </c>
      <c r="D73" s="15">
        <v>45862.5</v>
      </c>
      <c r="E73" s="1" t="s">
        <v>155</v>
      </c>
      <c r="F73" s="1" t="s">
        <v>234</v>
      </c>
      <c r="G73" s="1" t="s">
        <v>235</v>
      </c>
      <c r="H73" s="8" t="s">
        <v>20</v>
      </c>
      <c r="I73" s="8">
        <v>-110.5</v>
      </c>
    </row>
    <row r="74">
      <c r="A74" s="1" t="s">
        <v>10</v>
      </c>
      <c r="B74" s="1" t="s">
        <v>154</v>
      </c>
      <c r="C74" s="14">
        <v>45839.84238011574</v>
      </c>
      <c r="D74" s="15">
        <v>45869.5</v>
      </c>
      <c r="E74" s="1" t="s">
        <v>155</v>
      </c>
      <c r="F74" s="1" t="s">
        <v>236</v>
      </c>
      <c r="G74" s="1" t="s">
        <v>237</v>
      </c>
      <c r="H74" s="8" t="s">
        <v>20</v>
      </c>
      <c r="I74" s="8">
        <v>-103.5</v>
      </c>
    </row>
    <row r="75">
      <c r="A75" s="1" t="s">
        <v>10</v>
      </c>
      <c r="B75" s="1" t="s">
        <v>154</v>
      </c>
      <c r="C75" s="14">
        <v>45839.84330083334</v>
      </c>
      <c r="D75" s="15">
        <v>45876.5</v>
      </c>
      <c r="E75" s="1" t="s">
        <v>155</v>
      </c>
      <c r="F75" s="1" t="s">
        <v>238</v>
      </c>
      <c r="G75" s="1" t="s">
        <v>239</v>
      </c>
      <c r="H75" s="8" t="s">
        <v>20</v>
      </c>
      <c r="I75" s="8">
        <v>-96.5</v>
      </c>
    </row>
    <row r="76">
      <c r="A76" s="1" t="s">
        <v>10</v>
      </c>
      <c r="B76" s="1" t="s">
        <v>240</v>
      </c>
      <c r="C76" s="14">
        <v>45840.59121546296</v>
      </c>
      <c r="D76" s="15">
        <v>45846.95763888889</v>
      </c>
      <c r="E76" s="1" t="s">
        <v>166</v>
      </c>
      <c r="F76" s="1" t="s">
        <v>241</v>
      </c>
      <c r="G76" s="1" t="s">
        <v>242</v>
      </c>
      <c r="H76" s="8" t="s">
        <v>20</v>
      </c>
      <c r="I76" s="8">
        <v>-126.04236111111095</v>
      </c>
      <c r="J76" s="12" t="s">
        <v>243</v>
      </c>
    </row>
    <row r="77">
      <c r="A77" s="1" t="s">
        <v>21</v>
      </c>
      <c r="B77" s="1" t="s">
        <v>244</v>
      </c>
      <c r="C77" s="14">
        <v>45841.875352476854</v>
      </c>
      <c r="D77" s="15">
        <v>45842.66666666667</v>
      </c>
      <c r="F77" s="1" t="s">
        <v>245</v>
      </c>
      <c r="G77" s="1" t="s">
        <v>246</v>
      </c>
      <c r="H77" s="8" t="s">
        <v>20</v>
      </c>
      <c r="I77" s="8">
        <v>-130.33333333332848</v>
      </c>
    </row>
    <row r="78">
      <c r="A78" s="1" t="s">
        <v>10</v>
      </c>
      <c r="B78" s="1" t="s">
        <v>169</v>
      </c>
      <c r="C78" s="14">
        <v>45842.984248622684</v>
      </c>
      <c r="D78" s="15">
        <v>45846.95763888889</v>
      </c>
      <c r="E78" s="1" t="s">
        <v>104</v>
      </c>
      <c r="F78" s="1" t="s">
        <v>247</v>
      </c>
      <c r="G78" s="1" t="s">
        <v>248</v>
      </c>
      <c r="H78" s="8" t="s">
        <v>20</v>
      </c>
      <c r="I78" s="8">
        <v>-126.04236111111095</v>
      </c>
      <c r="J78" s="12" t="s">
        <v>249</v>
      </c>
    </row>
    <row r="79">
      <c r="A79" s="1" t="s">
        <v>10</v>
      </c>
      <c r="B79" s="1" t="s">
        <v>250</v>
      </c>
      <c r="C79" s="14">
        <v>45844.586549699074</v>
      </c>
      <c r="D79" s="15">
        <v>45847.5</v>
      </c>
      <c r="E79" s="1" t="s">
        <v>121</v>
      </c>
      <c r="F79" s="1" t="s">
        <v>251</v>
      </c>
      <c r="G79" s="1" t="s">
        <v>252</v>
      </c>
      <c r="H79" s="8" t="s">
        <v>20</v>
      </c>
      <c r="I79" s="8">
        <v>-125.5</v>
      </c>
      <c r="J79" s="12" t="s">
        <v>253</v>
      </c>
    </row>
    <row r="80">
      <c r="A80" s="1" t="s">
        <v>21</v>
      </c>
      <c r="B80" s="1" t="s">
        <v>141</v>
      </c>
      <c r="C80" s="14">
        <v>45844.810584872685</v>
      </c>
      <c r="D80" s="15">
        <v>45845.26041666667</v>
      </c>
      <c r="F80" s="1" t="s">
        <v>142</v>
      </c>
      <c r="G80" s="1" t="s">
        <v>254</v>
      </c>
      <c r="H80" s="8" t="s">
        <v>20</v>
      </c>
      <c r="I80" s="8">
        <v>-127.73958333332848</v>
      </c>
    </row>
    <row r="81">
      <c r="A81" s="1" t="s">
        <v>21</v>
      </c>
      <c r="B81" s="1" t="s">
        <v>132</v>
      </c>
      <c r="C81" s="14">
        <v>45844.810913194444</v>
      </c>
      <c r="D81" s="15">
        <v>45845.663194444445</v>
      </c>
      <c r="F81" s="1" t="s">
        <v>133</v>
      </c>
      <c r="G81" s="1" t="s">
        <v>255</v>
      </c>
      <c r="H81" s="8" t="s">
        <v>20</v>
      </c>
      <c r="I81" s="8">
        <v>-127.33680555555475</v>
      </c>
      <c r="J81" s="12" t="s">
        <v>256</v>
      </c>
    </row>
    <row r="82">
      <c r="A82" s="1" t="s">
        <v>10</v>
      </c>
      <c r="B82" s="1" t="s">
        <v>257</v>
      </c>
      <c r="C82" s="14">
        <v>45844.924513136575</v>
      </c>
      <c r="D82" s="15">
        <v>45846.58333333333</v>
      </c>
      <c r="E82" s="1" t="s">
        <v>17</v>
      </c>
      <c r="F82" s="1" t="s">
        <v>258</v>
      </c>
      <c r="G82" s="1" t="s">
        <v>259</v>
      </c>
      <c r="H82" s="8" t="s">
        <v>20</v>
      </c>
      <c r="I82" s="8">
        <v>-126.41666666667152</v>
      </c>
      <c r="J82" s="12" t="s">
        <v>260</v>
      </c>
    </row>
    <row r="83">
      <c r="A83" s="1" t="s">
        <v>21</v>
      </c>
      <c r="B83" s="1" t="s">
        <v>136</v>
      </c>
      <c r="C83" s="14">
        <v>45845.92559353009</v>
      </c>
      <c r="D83" s="15">
        <v>45846.26041666667</v>
      </c>
      <c r="F83" s="1" t="s">
        <v>261</v>
      </c>
      <c r="G83" s="1" t="s">
        <v>262</v>
      </c>
      <c r="H83" s="8" t="s">
        <v>20</v>
      </c>
      <c r="I83" s="8">
        <v>-126.73958333332848</v>
      </c>
    </row>
    <row r="84">
      <c r="A84" s="1" t="s">
        <v>10</v>
      </c>
      <c r="B84" s="1" t="s">
        <v>113</v>
      </c>
      <c r="C84" s="14">
        <v>45846.35687034723</v>
      </c>
      <c r="D84" s="15">
        <v>45850.74930555555</v>
      </c>
      <c r="E84" s="1" t="s">
        <v>109</v>
      </c>
      <c r="F84" s="1" t="s">
        <v>263</v>
      </c>
      <c r="G84" s="1" t="s">
        <v>264</v>
      </c>
      <c r="H84" s="8" t="s">
        <v>20</v>
      </c>
      <c r="I84" s="8">
        <v>-122.25069444444671</v>
      </c>
    </row>
    <row r="85">
      <c r="A85" s="1" t="s">
        <v>10</v>
      </c>
      <c r="B85" s="1" t="s">
        <v>151</v>
      </c>
      <c r="C85" s="14">
        <v>45846.35756184028</v>
      </c>
      <c r="D85" s="15">
        <v>45850.74930555555</v>
      </c>
      <c r="E85" s="1" t="s">
        <v>114</v>
      </c>
      <c r="F85" s="1" t="s">
        <v>265</v>
      </c>
      <c r="G85" s="1" t="s">
        <v>266</v>
      </c>
      <c r="H85" s="8" t="s">
        <v>20</v>
      </c>
      <c r="I85" s="8">
        <v>-122.25069444444671</v>
      </c>
    </row>
    <row r="86">
      <c r="A86" s="1" t="s">
        <v>10</v>
      </c>
      <c r="B86" s="1" t="s">
        <v>267</v>
      </c>
      <c r="C86" s="14">
        <v>45847.34430619213</v>
      </c>
      <c r="D86" s="15">
        <v>45852.95763888889</v>
      </c>
      <c r="E86" s="1" t="s">
        <v>197</v>
      </c>
      <c r="F86" s="1" t="s">
        <v>268</v>
      </c>
      <c r="G86" s="1" t="s">
        <v>269</v>
      </c>
      <c r="H86" s="8" t="s">
        <v>20</v>
      </c>
      <c r="I86" s="8">
        <v>-120.04236111111095</v>
      </c>
      <c r="J86" s="12" t="s">
        <v>270</v>
      </c>
    </row>
    <row r="87">
      <c r="A87" s="1" t="s">
        <v>10</v>
      </c>
      <c r="B87" s="1" t="s">
        <v>169</v>
      </c>
      <c r="C87" s="14">
        <v>45849.84812391204</v>
      </c>
      <c r="D87" s="15">
        <v>45853.95763888889</v>
      </c>
      <c r="E87" s="1" t="s">
        <v>104</v>
      </c>
      <c r="F87" s="1" t="s">
        <v>271</v>
      </c>
      <c r="G87" s="1" t="s">
        <v>272</v>
      </c>
      <c r="H87" s="8" t="s">
        <v>20</v>
      </c>
      <c r="I87" s="8">
        <v>-119.04236111111095</v>
      </c>
      <c r="J87" s="12" t="s">
        <v>273</v>
      </c>
    </row>
    <row r="88">
      <c r="A88" s="1" t="s">
        <v>10</v>
      </c>
      <c r="B88" s="1" t="s">
        <v>274</v>
      </c>
      <c r="C88" s="14">
        <v>45850.65415539352</v>
      </c>
      <c r="D88" s="15">
        <v>45854.95763888889</v>
      </c>
      <c r="E88" s="1" t="s">
        <v>121</v>
      </c>
      <c r="F88" s="1" t="s">
        <v>275</v>
      </c>
      <c r="G88" s="1" t="s">
        <v>276</v>
      </c>
      <c r="H88" s="8" t="s">
        <v>20</v>
      </c>
      <c r="I88" s="8">
        <v>-118.04236111111095</v>
      </c>
    </row>
    <row r="89">
      <c r="A89" s="1" t="s">
        <v>10</v>
      </c>
      <c r="B89" s="1" t="s">
        <v>277</v>
      </c>
      <c r="C89" s="14">
        <v>45850.654777337964</v>
      </c>
      <c r="D89" s="15">
        <v>45854.95763888889</v>
      </c>
      <c r="E89" s="1" t="s">
        <v>121</v>
      </c>
      <c r="F89" s="1" t="s">
        <v>278</v>
      </c>
      <c r="G89" s="1" t="s">
        <v>279</v>
      </c>
      <c r="H89" s="8" t="s">
        <v>20</v>
      </c>
      <c r="I89" s="8">
        <v>-118.04236111111095</v>
      </c>
      <c r="J89" s="12" t="s">
        <v>280</v>
      </c>
    </row>
    <row r="90">
      <c r="A90" s="1" t="s">
        <v>21</v>
      </c>
      <c r="B90" s="1" t="s">
        <v>132</v>
      </c>
      <c r="C90" s="14">
        <v>45852.81470582176</v>
      </c>
      <c r="D90" s="15">
        <v>45852.663194444445</v>
      </c>
      <c r="F90" s="1" t="s">
        <v>133</v>
      </c>
      <c r="G90" s="1" t="s">
        <v>281</v>
      </c>
      <c r="H90" s="8" t="s">
        <v>20</v>
      </c>
      <c r="I90" s="8">
        <v>-120.33680555555475</v>
      </c>
      <c r="J90" s="12" t="s">
        <v>282</v>
      </c>
    </row>
    <row r="91">
      <c r="A91" s="1" t="s">
        <v>21</v>
      </c>
      <c r="B91" s="1" t="s">
        <v>136</v>
      </c>
      <c r="C91" s="14">
        <v>45852.81508458333</v>
      </c>
      <c r="D91" s="15">
        <v>45853.26041666667</v>
      </c>
      <c r="F91" s="1" t="s">
        <v>137</v>
      </c>
      <c r="G91" s="1" t="s">
        <v>283</v>
      </c>
      <c r="H91" s="8" t="s">
        <v>20</v>
      </c>
      <c r="I91" s="8">
        <v>-119.73958333332848</v>
      </c>
    </row>
    <row r="92">
      <c r="C92" s="14"/>
      <c r="D92" s="15"/>
      <c r="H92" s="8" t="s">
        <v>42</v>
      </c>
      <c r="I92" s="8" t="s">
        <v>42</v>
      </c>
    </row>
    <row r="93">
      <c r="A93" s="1" t="s">
        <v>10</v>
      </c>
      <c r="B93" s="1" t="s">
        <v>284</v>
      </c>
      <c r="C93" s="14">
        <v>45853.44575532408</v>
      </c>
      <c r="D93" s="15">
        <v>45867.58333333333</v>
      </c>
      <c r="E93" s="1" t="s">
        <v>17</v>
      </c>
      <c r="F93" s="1" t="s">
        <v>285</v>
      </c>
      <c r="G93" s="1" t="s">
        <v>286</v>
      </c>
      <c r="H93" s="8" t="s">
        <v>20</v>
      </c>
      <c r="I93" s="8">
        <v>-105.41666666667152</v>
      </c>
      <c r="J93" s="12" t="s">
        <v>287</v>
      </c>
    </row>
    <row r="94">
      <c r="A94" s="1" t="s">
        <v>10</v>
      </c>
      <c r="B94" s="1" t="s">
        <v>284</v>
      </c>
      <c r="C94" s="14">
        <v>45853.44620046296</v>
      </c>
      <c r="D94" s="15">
        <v>45860.58333333333</v>
      </c>
      <c r="E94" s="1" t="s">
        <v>17</v>
      </c>
      <c r="F94" s="1" t="s">
        <v>288</v>
      </c>
      <c r="G94" s="1" t="s">
        <v>289</v>
      </c>
      <c r="H94" s="8" t="s">
        <v>20</v>
      </c>
      <c r="I94" s="8">
        <v>-112.41666666667152</v>
      </c>
      <c r="J94" s="12" t="s">
        <v>290</v>
      </c>
    </row>
    <row r="95">
      <c r="A95" s="1" t="s">
        <v>10</v>
      </c>
      <c r="B95" s="1" t="s">
        <v>193</v>
      </c>
      <c r="C95" s="14">
        <v>45853.53665504629</v>
      </c>
      <c r="D95" s="15">
        <v>45857.74930555555</v>
      </c>
      <c r="E95" s="1" t="s">
        <v>109</v>
      </c>
      <c r="F95" s="1" t="s">
        <v>291</v>
      </c>
      <c r="G95" s="1" t="s">
        <v>292</v>
      </c>
      <c r="H95" s="8" t="s">
        <v>20</v>
      </c>
      <c r="I95" s="8">
        <v>-115.25069444444671</v>
      </c>
    </row>
    <row r="96">
      <c r="A96" s="1" t="s">
        <v>10</v>
      </c>
      <c r="B96" s="1" t="s">
        <v>293</v>
      </c>
      <c r="C96" s="14">
        <v>45856.36888871528</v>
      </c>
      <c r="D96" s="15">
        <v>45859.95763888889</v>
      </c>
      <c r="E96" s="1" t="s">
        <v>197</v>
      </c>
      <c r="F96" s="1" t="s">
        <v>294</v>
      </c>
      <c r="G96" s="1" t="s">
        <v>295</v>
      </c>
      <c r="H96" s="8" t="s">
        <v>20</v>
      </c>
      <c r="I96" s="8">
        <v>-113.04236111111095</v>
      </c>
    </row>
    <row r="97">
      <c r="A97" s="1" t="s">
        <v>10</v>
      </c>
      <c r="B97" s="1" t="s">
        <v>169</v>
      </c>
      <c r="C97" s="14">
        <v>45857.6282621875</v>
      </c>
      <c r="D97" s="15">
        <v>45860.95763888889</v>
      </c>
      <c r="E97" s="1" t="s">
        <v>104</v>
      </c>
      <c r="F97" s="1" t="s">
        <v>296</v>
      </c>
      <c r="G97" s="1" t="s">
        <v>297</v>
      </c>
      <c r="H97" s="8" t="s">
        <v>20</v>
      </c>
      <c r="I97" s="8">
        <v>-112.04236111111095</v>
      </c>
      <c r="J97" s="12" t="s">
        <v>298</v>
      </c>
    </row>
    <row r="98">
      <c r="A98" s="1" t="s">
        <v>10</v>
      </c>
      <c r="B98" s="1" t="s">
        <v>299</v>
      </c>
      <c r="C98" s="14">
        <v>45858.86577726852</v>
      </c>
      <c r="D98" s="15">
        <v>45874.95763888889</v>
      </c>
      <c r="E98" s="1" t="s">
        <v>166</v>
      </c>
      <c r="F98" s="1" t="s">
        <v>300</v>
      </c>
      <c r="G98" s="1" t="s">
        <v>301</v>
      </c>
      <c r="H98" s="8" t="s">
        <v>20</v>
      </c>
      <c r="I98" s="8">
        <v>-98.04236111111095</v>
      </c>
      <c r="J98" s="12" t="s">
        <v>302</v>
      </c>
    </row>
    <row r="99">
      <c r="A99" s="1" t="s">
        <v>21</v>
      </c>
      <c r="B99" s="1" t="s">
        <v>141</v>
      </c>
      <c r="C99" s="14">
        <v>45859.53834321759</v>
      </c>
      <c r="D99" s="15">
        <v>45859.26041666667</v>
      </c>
      <c r="F99" s="1" t="s">
        <v>142</v>
      </c>
      <c r="G99" s="1" t="s">
        <v>303</v>
      </c>
      <c r="H99" s="8" t="s">
        <v>20</v>
      </c>
      <c r="I99" s="8">
        <v>-113.73958333332848</v>
      </c>
    </row>
    <row r="100">
      <c r="A100" s="1" t="s">
        <v>21</v>
      </c>
      <c r="B100" s="1" t="s">
        <v>132</v>
      </c>
      <c r="C100" s="14">
        <v>45859.53885600694</v>
      </c>
      <c r="D100" s="15">
        <v>45859.663194444445</v>
      </c>
      <c r="F100" s="1" t="s">
        <v>133</v>
      </c>
      <c r="G100" s="1" t="s">
        <v>304</v>
      </c>
      <c r="H100" s="8" t="s">
        <v>20</v>
      </c>
      <c r="I100" s="8">
        <v>-113.33680555555475</v>
      </c>
      <c r="J100" s="12" t="s">
        <v>305</v>
      </c>
    </row>
    <row r="101">
      <c r="A101" s="1" t="s">
        <v>21</v>
      </c>
      <c r="B101" s="1" t="s">
        <v>136</v>
      </c>
      <c r="C101" s="14">
        <v>45859.83025109954</v>
      </c>
      <c r="D101" s="15">
        <v>45860.26041666667</v>
      </c>
      <c r="F101" s="1" t="s">
        <v>137</v>
      </c>
      <c r="G101" s="1" t="s">
        <v>306</v>
      </c>
      <c r="H101" s="8" t="s">
        <v>20</v>
      </c>
      <c r="I101" s="8">
        <v>-112.73958333332848</v>
      </c>
    </row>
    <row r="102">
      <c r="A102" s="1" t="s">
        <v>10</v>
      </c>
      <c r="B102" s="1" t="s">
        <v>193</v>
      </c>
      <c r="C102" s="14">
        <v>45859.91077753472</v>
      </c>
      <c r="D102" s="15">
        <v>45864.74930555555</v>
      </c>
      <c r="E102" s="1" t="s">
        <v>109</v>
      </c>
      <c r="F102" s="1" t="s">
        <v>307</v>
      </c>
      <c r="G102" s="1" t="s">
        <v>308</v>
      </c>
      <c r="H102" s="8" t="s">
        <v>20</v>
      </c>
      <c r="I102" s="8">
        <v>-108.25069444444671</v>
      </c>
    </row>
    <row r="103">
      <c r="A103" s="1" t="s">
        <v>10</v>
      </c>
      <c r="B103" s="1" t="s">
        <v>309</v>
      </c>
      <c r="C103" s="14">
        <v>45859.91174362268</v>
      </c>
      <c r="D103" s="15">
        <v>45864.74930555555</v>
      </c>
      <c r="E103" s="1" t="s">
        <v>114</v>
      </c>
      <c r="F103" s="1" t="s">
        <v>310</v>
      </c>
      <c r="G103" s="1" t="s">
        <v>311</v>
      </c>
      <c r="H103" s="8" t="s">
        <v>20</v>
      </c>
      <c r="I103" s="8">
        <v>-108.25069444444671</v>
      </c>
    </row>
    <row r="104">
      <c r="A104" s="1" t="s">
        <v>10</v>
      </c>
      <c r="B104" s="1" t="s">
        <v>312</v>
      </c>
      <c r="C104" s="14">
        <v>45861.45548444444</v>
      </c>
      <c r="D104" s="15">
        <v>45875.95763888889</v>
      </c>
      <c r="E104" s="1" t="s">
        <v>121</v>
      </c>
      <c r="F104" s="1" t="s">
        <v>313</v>
      </c>
      <c r="G104" s="1" t="s">
        <v>314</v>
      </c>
      <c r="H104" s="8" t="s">
        <v>20</v>
      </c>
      <c r="I104" s="8">
        <v>-97.04236111111095</v>
      </c>
      <c r="J104" s="12" t="s">
        <v>315</v>
      </c>
    </row>
    <row r="105">
      <c r="A105" s="1" t="s">
        <v>10</v>
      </c>
      <c r="B105" s="1" t="s">
        <v>169</v>
      </c>
      <c r="C105" s="14">
        <v>45862.459563344906</v>
      </c>
      <c r="D105" s="15">
        <v>45867.95763888889</v>
      </c>
      <c r="E105" s="1" t="s">
        <v>104</v>
      </c>
      <c r="F105" s="1" t="s">
        <v>316</v>
      </c>
      <c r="G105" s="1" t="s">
        <v>317</v>
      </c>
      <c r="H105" s="8" t="s">
        <v>20</v>
      </c>
      <c r="I105" s="8">
        <v>-105.04236111111095</v>
      </c>
      <c r="J105" s="12" t="s">
        <v>318</v>
      </c>
    </row>
    <row r="106">
      <c r="A106" s="1" t="s">
        <v>21</v>
      </c>
      <c r="B106" s="1" t="s">
        <v>136</v>
      </c>
      <c r="C106" s="14">
        <v>45866.680619074075</v>
      </c>
      <c r="D106" s="15">
        <v>45867.26041666667</v>
      </c>
      <c r="F106" s="1" t="s">
        <v>137</v>
      </c>
      <c r="G106" s="1" t="s">
        <v>319</v>
      </c>
      <c r="H106" s="8" t="s">
        <v>20</v>
      </c>
      <c r="I106" s="8">
        <v>-105.73958333332848</v>
      </c>
    </row>
    <row r="107">
      <c r="A107" s="1" t="s">
        <v>10</v>
      </c>
      <c r="B107" s="1" t="s">
        <v>284</v>
      </c>
      <c r="C107" s="14">
        <v>45867.208762951384</v>
      </c>
      <c r="D107" s="15">
        <v>45868.58333333333</v>
      </c>
      <c r="E107" s="1" t="s">
        <v>17</v>
      </c>
      <c r="F107" s="1" t="s">
        <v>320</v>
      </c>
      <c r="G107" s="1" t="s">
        <v>321</v>
      </c>
      <c r="H107" s="8" t="s">
        <v>20</v>
      </c>
      <c r="I107" s="8">
        <v>-104.41666666667152</v>
      </c>
      <c r="J107" s="12" t="s">
        <v>322</v>
      </c>
    </row>
    <row r="108">
      <c r="A108" s="1" t="s">
        <v>10</v>
      </c>
      <c r="B108" s="1" t="s">
        <v>309</v>
      </c>
      <c r="C108" s="14">
        <v>45867.813252175925</v>
      </c>
      <c r="D108" s="15">
        <v>45871.74930555555</v>
      </c>
      <c r="E108" s="1" t="s">
        <v>114</v>
      </c>
      <c r="F108" s="1" t="s">
        <v>323</v>
      </c>
      <c r="G108" s="1" t="s">
        <v>324</v>
      </c>
      <c r="H108" s="8" t="s">
        <v>20</v>
      </c>
      <c r="I108" s="8">
        <v>-101.25069444444671</v>
      </c>
    </row>
    <row r="109">
      <c r="A109" s="1" t="s">
        <v>10</v>
      </c>
      <c r="B109" s="1" t="s">
        <v>193</v>
      </c>
      <c r="C109" s="14">
        <v>45867.81458287037</v>
      </c>
      <c r="D109" s="15">
        <v>45871.74930555555</v>
      </c>
      <c r="E109" s="1" t="s">
        <v>109</v>
      </c>
      <c r="F109" s="1" t="s">
        <v>325</v>
      </c>
      <c r="G109" s="1" t="s">
        <v>326</v>
      </c>
      <c r="H109" s="8" t="s">
        <v>20</v>
      </c>
      <c r="I109" s="8">
        <v>-101.25069444444671</v>
      </c>
    </row>
    <row r="110">
      <c r="A110" s="1" t="s">
        <v>10</v>
      </c>
      <c r="B110" s="1" t="s">
        <v>154</v>
      </c>
      <c r="C110" s="14">
        <v>45869.7522077662</v>
      </c>
      <c r="D110" s="15">
        <v>45873.3125</v>
      </c>
      <c r="E110" s="1" t="s">
        <v>155</v>
      </c>
      <c r="F110" s="1" t="s">
        <v>236</v>
      </c>
      <c r="G110" s="1" t="s">
        <v>327</v>
      </c>
      <c r="H110" s="8" t="s">
        <v>20</v>
      </c>
      <c r="I110" s="8">
        <v>-99.6875</v>
      </c>
    </row>
    <row r="111">
      <c r="A111" s="1" t="s">
        <v>10</v>
      </c>
      <c r="B111" s="1" t="s">
        <v>328</v>
      </c>
      <c r="C111" s="14">
        <v>45869.957952233795</v>
      </c>
      <c r="D111" s="15">
        <v>45873.95763888889</v>
      </c>
      <c r="E111" s="1" t="s">
        <v>197</v>
      </c>
      <c r="F111" s="1" t="s">
        <v>329</v>
      </c>
      <c r="G111" s="1" t="s">
        <v>330</v>
      </c>
      <c r="H111" s="8" t="s">
        <v>20</v>
      </c>
      <c r="I111" s="8">
        <v>-99.04236111111095</v>
      </c>
    </row>
    <row r="112">
      <c r="A112" s="1" t="s">
        <v>21</v>
      </c>
      <c r="B112" s="1" t="s">
        <v>331</v>
      </c>
      <c r="C112" s="14">
        <v>45870.288894108795</v>
      </c>
      <c r="D112" s="15">
        <v>45875.663194444445</v>
      </c>
      <c r="F112" s="1" t="s">
        <v>332</v>
      </c>
      <c r="G112" s="1" t="s">
        <v>333</v>
      </c>
      <c r="H112" s="8" t="s">
        <v>20</v>
      </c>
      <c r="I112" s="8">
        <v>-97.33680555555475</v>
      </c>
      <c r="J112" s="12" t="s">
        <v>334</v>
      </c>
    </row>
    <row r="113">
      <c r="A113" s="1" t="s">
        <v>10</v>
      </c>
      <c r="B113" s="1" t="s">
        <v>169</v>
      </c>
      <c r="C113" s="14">
        <v>45872.537005659724</v>
      </c>
      <c r="D113" s="15">
        <v>45874.95763888889</v>
      </c>
      <c r="E113" s="1" t="s">
        <v>104</v>
      </c>
      <c r="F113" s="1" t="s">
        <v>335</v>
      </c>
      <c r="G113" s="1" t="s">
        <v>336</v>
      </c>
      <c r="H113" s="8" t="s">
        <v>20</v>
      </c>
      <c r="I113" s="8">
        <v>-98.04236111111095</v>
      </c>
      <c r="J113" s="12" t="s">
        <v>337</v>
      </c>
    </row>
    <row r="114">
      <c r="A114" s="1" t="s">
        <v>10</v>
      </c>
      <c r="B114" s="1" t="s">
        <v>299</v>
      </c>
      <c r="C114" s="14">
        <v>45872.60200353009</v>
      </c>
      <c r="D114" s="15">
        <v>45881.95763888889</v>
      </c>
      <c r="E114" s="1" t="s">
        <v>166</v>
      </c>
      <c r="F114" s="1" t="s">
        <v>338</v>
      </c>
      <c r="G114" s="1" t="s">
        <v>339</v>
      </c>
      <c r="H114" s="8" t="s">
        <v>20</v>
      </c>
      <c r="I114" s="8">
        <v>-91.04236111111095</v>
      </c>
      <c r="J114" s="12" t="s">
        <v>340</v>
      </c>
    </row>
    <row r="115">
      <c r="A115" s="1" t="s">
        <v>21</v>
      </c>
      <c r="B115" s="1" t="s">
        <v>341</v>
      </c>
      <c r="C115" s="14">
        <v>45872.70779296296</v>
      </c>
      <c r="D115" s="15">
        <v>45873.27083333333</v>
      </c>
      <c r="F115" s="1" t="s">
        <v>342</v>
      </c>
      <c r="G115" s="1" t="s">
        <v>343</v>
      </c>
      <c r="H115" s="8" t="s">
        <v>20</v>
      </c>
      <c r="I115" s="8">
        <v>-99.72916666667152</v>
      </c>
      <c r="J115" s="12" t="s">
        <v>344</v>
      </c>
    </row>
    <row r="116">
      <c r="A116" s="1" t="s">
        <v>10</v>
      </c>
      <c r="B116" s="1" t="s">
        <v>309</v>
      </c>
      <c r="C116" s="14">
        <v>45873.46265173611</v>
      </c>
      <c r="D116" s="15">
        <v>45878.74930555555</v>
      </c>
      <c r="E116" s="1" t="s">
        <v>109</v>
      </c>
      <c r="F116" s="1" t="s">
        <v>345</v>
      </c>
      <c r="G116" s="1" t="s">
        <v>346</v>
      </c>
      <c r="H116" s="8" t="s">
        <v>20</v>
      </c>
      <c r="I116" s="8">
        <v>-94.25069444444671</v>
      </c>
    </row>
    <row r="117">
      <c r="A117" s="1" t="s">
        <v>10</v>
      </c>
      <c r="B117" s="1" t="s">
        <v>193</v>
      </c>
      <c r="C117" s="14">
        <v>45873.46636914352</v>
      </c>
      <c r="D117" s="15">
        <v>45878.74930555555</v>
      </c>
      <c r="E117" s="1" t="s">
        <v>114</v>
      </c>
      <c r="F117" s="1" t="s">
        <v>347</v>
      </c>
      <c r="G117" s="1" t="s">
        <v>348</v>
      </c>
      <c r="H117" s="8" t="s">
        <v>20</v>
      </c>
      <c r="I117" s="8">
        <v>-94.25069444444671</v>
      </c>
    </row>
    <row r="118">
      <c r="A118" s="1" t="s">
        <v>15</v>
      </c>
      <c r="B118" s="1" t="s">
        <v>349</v>
      </c>
      <c r="C118" s="14">
        <v>45873.46831506945</v>
      </c>
      <c r="D118" s="15">
        <v>45878.74930555555</v>
      </c>
      <c r="E118" s="1" t="s">
        <v>109</v>
      </c>
      <c r="F118" s="1" t="s">
        <v>350</v>
      </c>
      <c r="G118" s="1" t="s">
        <v>351</v>
      </c>
      <c r="H118" s="8" t="s">
        <v>20</v>
      </c>
      <c r="I118" s="8">
        <v>-94.25069444444671</v>
      </c>
    </row>
    <row r="119">
      <c r="A119" s="1" t="s">
        <v>10</v>
      </c>
      <c r="B119" s="1" t="s">
        <v>352</v>
      </c>
      <c r="C119" s="14">
        <v>45873.6169366088</v>
      </c>
      <c r="D119" s="15">
        <v>45874.58333333333</v>
      </c>
      <c r="E119" s="1" t="s">
        <v>17</v>
      </c>
      <c r="F119" s="1" t="s">
        <v>353</v>
      </c>
      <c r="G119" s="1" t="s">
        <v>354</v>
      </c>
      <c r="H119" s="8" t="s">
        <v>20</v>
      </c>
      <c r="I119" s="8">
        <v>-98.41666666667152</v>
      </c>
      <c r="J119" s="12" t="s">
        <v>355</v>
      </c>
    </row>
    <row r="120">
      <c r="A120" s="1" t="s">
        <v>10</v>
      </c>
      <c r="B120" s="1" t="s">
        <v>352</v>
      </c>
      <c r="C120" s="14">
        <v>45873.61833653935</v>
      </c>
      <c r="D120" s="15">
        <v>45875.58333333333</v>
      </c>
      <c r="E120" s="1" t="s">
        <v>17</v>
      </c>
      <c r="F120" s="1" t="s">
        <v>356</v>
      </c>
      <c r="G120" s="1" t="s">
        <v>357</v>
      </c>
      <c r="H120" s="8" t="s">
        <v>20</v>
      </c>
      <c r="I120" s="8">
        <v>-97.41666666667152</v>
      </c>
      <c r="J120" s="12" t="s">
        <v>358</v>
      </c>
    </row>
    <row r="121">
      <c r="A121" s="1" t="s">
        <v>10</v>
      </c>
      <c r="B121" s="1" t="s">
        <v>169</v>
      </c>
      <c r="C121" s="14">
        <v>45878.409536493054</v>
      </c>
      <c r="D121" s="15">
        <v>45881.95763888889</v>
      </c>
      <c r="E121" s="1" t="s">
        <v>104</v>
      </c>
      <c r="F121" s="1" t="s">
        <v>359</v>
      </c>
      <c r="G121" s="1" t="s">
        <v>360</v>
      </c>
      <c r="H121" s="8" t="s">
        <v>20</v>
      </c>
      <c r="I121" s="8">
        <v>-91.04236111111095</v>
      </c>
      <c r="J121" s="12" t="s">
        <v>361</v>
      </c>
    </row>
    <row r="122">
      <c r="A122" s="1" t="s">
        <v>10</v>
      </c>
      <c r="B122" s="1" t="s">
        <v>362</v>
      </c>
      <c r="C122" s="14">
        <v>45879.90629515046</v>
      </c>
      <c r="D122" s="15">
        <v>45881.58333333333</v>
      </c>
      <c r="E122" s="1" t="s">
        <v>17</v>
      </c>
      <c r="F122" s="1" t="s">
        <v>363</v>
      </c>
      <c r="G122" s="1" t="s">
        <v>364</v>
      </c>
      <c r="H122" s="8" t="s">
        <v>20</v>
      </c>
      <c r="I122" s="8">
        <v>-91.41666666667152</v>
      </c>
      <c r="J122" s="12" t="s">
        <v>365</v>
      </c>
    </row>
    <row r="123">
      <c r="A123" s="1" t="s">
        <v>10</v>
      </c>
      <c r="B123" s="1" t="s">
        <v>366</v>
      </c>
      <c r="C123" s="14">
        <v>45879.909004375004</v>
      </c>
      <c r="D123" s="15">
        <v>45882.58333333333</v>
      </c>
      <c r="E123" s="1" t="s">
        <v>17</v>
      </c>
      <c r="F123" s="1" t="s">
        <v>367</v>
      </c>
      <c r="G123" s="1" t="s">
        <v>368</v>
      </c>
      <c r="H123" s="8" t="s">
        <v>20</v>
      </c>
      <c r="I123" s="8">
        <v>-90.41666666667152</v>
      </c>
      <c r="J123" s="12" t="s">
        <v>369</v>
      </c>
    </row>
    <row r="124">
      <c r="A124" s="1" t="s">
        <v>10</v>
      </c>
      <c r="B124" s="1" t="s">
        <v>370</v>
      </c>
      <c r="C124" s="14">
        <v>45880.709828680556</v>
      </c>
      <c r="D124" s="15">
        <v>45882.58333333333</v>
      </c>
      <c r="E124" s="1" t="s">
        <v>17</v>
      </c>
      <c r="F124" s="1" t="s">
        <v>371</v>
      </c>
      <c r="G124" s="1" t="s">
        <v>372</v>
      </c>
      <c r="H124" s="8" t="s">
        <v>20</v>
      </c>
      <c r="I124" s="8">
        <v>-90.41666666667152</v>
      </c>
    </row>
    <row r="125">
      <c r="A125" s="1" t="s">
        <v>21</v>
      </c>
      <c r="B125" s="1" t="s">
        <v>373</v>
      </c>
      <c r="C125" s="14">
        <v>45881.49870172454</v>
      </c>
      <c r="D125" s="15">
        <v>45882.4375</v>
      </c>
      <c r="F125" s="1" t="s">
        <v>374</v>
      </c>
      <c r="G125" s="1" t="s">
        <v>375</v>
      </c>
      <c r="H125" s="8" t="s">
        <v>20</v>
      </c>
      <c r="I125" s="8">
        <v>-90.5625</v>
      </c>
    </row>
    <row r="126">
      <c r="A126" s="1" t="s">
        <v>10</v>
      </c>
      <c r="B126" s="1" t="s">
        <v>376</v>
      </c>
      <c r="C126" s="14">
        <v>45881.86031521991</v>
      </c>
      <c r="D126" s="15">
        <v>45887.99930555555</v>
      </c>
      <c r="E126" s="1" t="s">
        <v>197</v>
      </c>
      <c r="F126" s="1" t="s">
        <v>377</v>
      </c>
      <c r="G126" s="1" t="s">
        <v>378</v>
      </c>
      <c r="H126" s="8" t="s">
        <v>20</v>
      </c>
      <c r="I126" s="8">
        <v>-85.00069444444671</v>
      </c>
    </row>
    <row r="127">
      <c r="A127" s="1" t="s">
        <v>10</v>
      </c>
      <c r="B127" s="1" t="s">
        <v>379</v>
      </c>
      <c r="C127" s="14">
        <v>45973.25765113426</v>
      </c>
      <c r="D127" s="15">
        <v>45973.5</v>
      </c>
      <c r="E127" s="1" t="s">
        <v>121</v>
      </c>
      <c r="F127" s="1" t="s">
        <v>380</v>
      </c>
      <c r="G127" s="1" t="s">
        <v>381</v>
      </c>
      <c r="H127" s="8" t="s">
        <v>38</v>
      </c>
      <c r="I127" s="8">
        <v>0.5</v>
      </c>
      <c r="J127" s="12" t="s">
        <v>382</v>
      </c>
    </row>
    <row r="128">
      <c r="A128" s="1"/>
      <c r="B128" s="1"/>
      <c r="D128" s="15"/>
      <c r="H128" s="8" t="s">
        <v>42</v>
      </c>
      <c r="I128" s="8" t="s">
        <v>42</v>
      </c>
    </row>
    <row r="129">
      <c r="A129" s="1"/>
      <c r="B129" s="1"/>
      <c r="D129" s="15"/>
      <c r="H129" s="8" t="s">
        <v>42</v>
      </c>
      <c r="I129" s="8" t="s">
        <v>42</v>
      </c>
    </row>
    <row r="130">
      <c r="A130" s="1"/>
      <c r="B130" s="1"/>
      <c r="D130" s="15"/>
      <c r="H130" s="8" t="s">
        <v>42</v>
      </c>
      <c r="I130" s="8" t="s">
        <v>42</v>
      </c>
    </row>
    <row r="131">
      <c r="A131" s="1"/>
      <c r="B131" s="1"/>
      <c r="D131" s="15"/>
      <c r="H131" s="8" t="s">
        <v>42</v>
      </c>
      <c r="I131" s="8" t="s">
        <v>42</v>
      </c>
    </row>
    <row r="132">
      <c r="A132" s="1"/>
      <c r="B132" s="1"/>
      <c r="D132" s="15"/>
      <c r="H132" s="8" t="s">
        <v>42</v>
      </c>
      <c r="I132" s="8" t="s">
        <v>42</v>
      </c>
    </row>
    <row r="133">
      <c r="A133" s="1"/>
      <c r="B133" s="1"/>
      <c r="D133" s="15"/>
      <c r="H133" s="8" t="s">
        <v>42</v>
      </c>
      <c r="I133" s="8" t="s">
        <v>42</v>
      </c>
    </row>
    <row r="134">
      <c r="A134" s="1"/>
      <c r="B134" s="1"/>
      <c r="D134" s="15"/>
      <c r="H134" s="8" t="s">
        <v>42</v>
      </c>
      <c r="I134" s="8" t="s">
        <v>42</v>
      </c>
    </row>
    <row r="135">
      <c r="A135" s="1"/>
      <c r="B135" s="1"/>
      <c r="D135" s="15"/>
      <c r="H135" s="8" t="s">
        <v>42</v>
      </c>
      <c r="I135" s="8" t="s">
        <v>42</v>
      </c>
    </row>
    <row r="136">
      <c r="A136" s="1"/>
      <c r="B136" s="1"/>
      <c r="D136" s="15"/>
      <c r="H136" s="8" t="s">
        <v>42</v>
      </c>
      <c r="I136" s="8" t="s">
        <v>42</v>
      </c>
    </row>
    <row r="137">
      <c r="A137" s="1"/>
      <c r="B137" s="1"/>
      <c r="D137" s="15"/>
      <c r="H137" s="8" t="s">
        <v>42</v>
      </c>
      <c r="I137" s="8" t="s">
        <v>42</v>
      </c>
    </row>
    <row r="138">
      <c r="A138" s="1"/>
      <c r="B138" s="1"/>
      <c r="D138" s="15"/>
      <c r="H138" s="8" t="s">
        <v>42</v>
      </c>
      <c r="I138" s="8" t="s">
        <v>42</v>
      </c>
    </row>
    <row r="139">
      <c r="A139" s="1"/>
      <c r="B139" s="1"/>
      <c r="D139" s="15"/>
      <c r="H139" s="8" t="s">
        <v>42</v>
      </c>
      <c r="I139" s="8" t="s">
        <v>42</v>
      </c>
    </row>
    <row r="140">
      <c r="A140" s="1"/>
      <c r="B140" s="1"/>
      <c r="D140" s="15"/>
      <c r="H140" s="8" t="s">
        <v>42</v>
      </c>
      <c r="I140" s="8" t="s">
        <v>42</v>
      </c>
    </row>
    <row r="141">
      <c r="A141" s="1"/>
      <c r="B141" s="1"/>
      <c r="D141" s="15"/>
      <c r="H141" s="8" t="s">
        <v>42</v>
      </c>
      <c r="I141" s="8" t="s">
        <v>42</v>
      </c>
    </row>
    <row r="142">
      <c r="A142" s="1"/>
      <c r="B142" s="1"/>
      <c r="D142" s="15"/>
      <c r="H142" s="8" t="s">
        <v>42</v>
      </c>
      <c r="I142" s="8" t="s">
        <v>42</v>
      </c>
    </row>
    <row r="143">
      <c r="A143" s="1"/>
      <c r="B143" s="1"/>
      <c r="D143" s="15"/>
      <c r="H143" s="8" t="s">
        <v>42</v>
      </c>
      <c r="I143" s="8" t="s">
        <v>42</v>
      </c>
    </row>
    <row r="144">
      <c r="A144" s="1"/>
      <c r="B144" s="1"/>
      <c r="D144" s="15"/>
      <c r="H144" s="8" t="s">
        <v>42</v>
      </c>
      <c r="I144" s="8" t="s">
        <v>42</v>
      </c>
    </row>
    <row r="145">
      <c r="A145" s="1"/>
      <c r="B145" s="1"/>
      <c r="D145" s="15"/>
      <c r="H145" s="8" t="s">
        <v>42</v>
      </c>
      <c r="I145" s="8" t="s">
        <v>42</v>
      </c>
    </row>
    <row r="146">
      <c r="A146" s="1"/>
      <c r="B146" s="1"/>
      <c r="D146" s="15"/>
      <c r="H146" s="8" t="s">
        <v>42</v>
      </c>
      <c r="I146" s="8" t="s">
        <v>42</v>
      </c>
    </row>
    <row r="147">
      <c r="A147" s="1"/>
      <c r="B147" s="1"/>
      <c r="D147" s="15"/>
      <c r="H147" s="8" t="s">
        <v>42</v>
      </c>
      <c r="I147" s="8" t="s">
        <v>42</v>
      </c>
    </row>
    <row r="148">
      <c r="A148" s="1"/>
      <c r="B148" s="1"/>
      <c r="D148" s="15"/>
      <c r="H148" s="8" t="s">
        <v>42</v>
      </c>
      <c r="I148" s="8" t="s">
        <v>42</v>
      </c>
    </row>
    <row r="149">
      <c r="A149" s="1"/>
      <c r="B149" s="1"/>
      <c r="D149" s="15"/>
      <c r="H149" s="8" t="s">
        <v>42</v>
      </c>
      <c r="I149" s="8" t="s">
        <v>42</v>
      </c>
    </row>
    <row r="150">
      <c r="A150" s="1"/>
      <c r="B150" s="1"/>
      <c r="D150" s="15"/>
      <c r="H150" s="8" t="s">
        <v>42</v>
      </c>
      <c r="I150" s="8" t="s">
        <v>42</v>
      </c>
    </row>
    <row r="151">
      <c r="A151" s="1"/>
      <c r="B151" s="1"/>
      <c r="D151" s="15"/>
      <c r="H151" s="8" t="s">
        <v>42</v>
      </c>
      <c r="I151" s="8" t="s">
        <v>42</v>
      </c>
    </row>
    <row r="152">
      <c r="A152" s="1"/>
      <c r="B152" s="1"/>
      <c r="D152" s="15"/>
      <c r="H152" s="8" t="s">
        <v>42</v>
      </c>
      <c r="I152" s="8" t="s">
        <v>42</v>
      </c>
    </row>
    <row r="153">
      <c r="A153" s="1"/>
      <c r="B153" s="1"/>
      <c r="D153" s="15"/>
      <c r="H153" s="8" t="s">
        <v>42</v>
      </c>
      <c r="I153" s="8" t="s">
        <v>42</v>
      </c>
    </row>
    <row r="154">
      <c r="A154" s="1"/>
      <c r="B154" s="1"/>
      <c r="D154" s="15"/>
      <c r="H154" s="8" t="s">
        <v>42</v>
      </c>
      <c r="I154" s="8" t="s">
        <v>42</v>
      </c>
    </row>
    <row r="155">
      <c r="A155" s="1"/>
      <c r="B155" s="1"/>
      <c r="D155" s="15"/>
      <c r="H155" s="8" t="s">
        <v>42</v>
      </c>
      <c r="I155" s="8" t="s">
        <v>42</v>
      </c>
    </row>
    <row r="156">
      <c r="A156" s="1"/>
      <c r="B156" s="1"/>
      <c r="D156" s="15"/>
      <c r="H156" s="8" t="s">
        <v>42</v>
      </c>
      <c r="I156" s="8" t="s">
        <v>42</v>
      </c>
    </row>
    <row r="157">
      <c r="A157" s="1"/>
      <c r="B157" s="1"/>
      <c r="D157" s="15"/>
      <c r="H157" s="8" t="s">
        <v>42</v>
      </c>
      <c r="I157" s="8" t="s">
        <v>42</v>
      </c>
    </row>
    <row r="158">
      <c r="A158" s="1"/>
      <c r="B158" s="1"/>
      <c r="D158" s="15"/>
      <c r="H158" s="8" t="s">
        <v>42</v>
      </c>
      <c r="I158" s="8" t="s">
        <v>42</v>
      </c>
    </row>
    <row r="159">
      <c r="A159" s="1"/>
      <c r="B159" s="1"/>
      <c r="D159" s="15"/>
      <c r="H159" s="8" t="s">
        <v>42</v>
      </c>
      <c r="I159" s="8" t="s">
        <v>42</v>
      </c>
    </row>
    <row r="160">
      <c r="A160" s="1"/>
      <c r="B160" s="1"/>
      <c r="D160" s="15"/>
      <c r="H160" s="8" t="s">
        <v>42</v>
      </c>
      <c r="I160" s="8" t="s">
        <v>42</v>
      </c>
    </row>
    <row r="161">
      <c r="A161" s="1"/>
      <c r="B161" s="1"/>
      <c r="D161" s="15"/>
      <c r="H161" s="8" t="s">
        <v>42</v>
      </c>
      <c r="I161" s="8" t="s">
        <v>42</v>
      </c>
    </row>
    <row r="162">
      <c r="A162" s="1"/>
      <c r="B162" s="1"/>
      <c r="D162" s="15"/>
      <c r="H162" s="8" t="s">
        <v>42</v>
      </c>
      <c r="I162" s="8" t="s">
        <v>42</v>
      </c>
    </row>
    <row r="163">
      <c r="A163" s="1"/>
      <c r="B163" s="1"/>
      <c r="D163" s="15"/>
      <c r="H163" s="8" t="s">
        <v>42</v>
      </c>
      <c r="I163" s="8" t="s">
        <v>42</v>
      </c>
    </row>
    <row r="164">
      <c r="A164" s="1"/>
      <c r="B164" s="1"/>
      <c r="D164" s="15"/>
      <c r="H164" s="8" t="s">
        <v>42</v>
      </c>
      <c r="I164" s="8" t="s">
        <v>42</v>
      </c>
    </row>
    <row r="165">
      <c r="A165" s="1"/>
      <c r="B165" s="1"/>
      <c r="D165" s="15"/>
      <c r="H165" s="8" t="s">
        <v>42</v>
      </c>
      <c r="I165" s="8" t="s">
        <v>42</v>
      </c>
    </row>
    <row r="166">
      <c r="A166" s="1"/>
      <c r="B166" s="1"/>
      <c r="D166" s="15"/>
      <c r="H166" s="8" t="s">
        <v>42</v>
      </c>
      <c r="I166" s="8" t="s">
        <v>42</v>
      </c>
    </row>
    <row r="167">
      <c r="A167" s="1"/>
      <c r="B167" s="1"/>
      <c r="D167" s="15"/>
      <c r="H167" s="8" t="s">
        <v>42</v>
      </c>
      <c r="I167" s="8" t="s">
        <v>42</v>
      </c>
    </row>
    <row r="168">
      <c r="A168" s="1"/>
      <c r="B168" s="1"/>
      <c r="D168" s="15"/>
      <c r="H168" s="8" t="s">
        <v>42</v>
      </c>
      <c r="I168" s="8" t="s">
        <v>42</v>
      </c>
    </row>
    <row r="169">
      <c r="A169" s="1"/>
      <c r="B169" s="1"/>
      <c r="D169" s="15"/>
      <c r="H169" s="8" t="s">
        <v>42</v>
      </c>
      <c r="I169" s="8" t="s">
        <v>42</v>
      </c>
    </row>
    <row r="170">
      <c r="A170" s="1"/>
      <c r="B170" s="1"/>
      <c r="D170" s="15"/>
      <c r="H170" s="8" t="s">
        <v>42</v>
      </c>
      <c r="I170" s="8" t="s">
        <v>42</v>
      </c>
    </row>
    <row r="171">
      <c r="A171" s="1"/>
      <c r="B171" s="1"/>
      <c r="D171" s="15"/>
      <c r="H171" s="8" t="s">
        <v>42</v>
      </c>
      <c r="I171" s="8" t="s">
        <v>42</v>
      </c>
    </row>
    <row r="172">
      <c r="A172" s="1"/>
      <c r="B172" s="1"/>
      <c r="D172" s="15"/>
      <c r="H172" s="8" t="s">
        <v>42</v>
      </c>
      <c r="I172" s="8" t="s">
        <v>42</v>
      </c>
    </row>
    <row r="173">
      <c r="A173" s="1"/>
      <c r="B173" s="1"/>
      <c r="D173" s="15"/>
      <c r="H173" s="8" t="s">
        <v>42</v>
      </c>
      <c r="I173" s="8" t="s">
        <v>42</v>
      </c>
    </row>
    <row r="174">
      <c r="A174" s="1"/>
      <c r="B174" s="1"/>
      <c r="D174" s="15"/>
      <c r="H174" s="8" t="s">
        <v>42</v>
      </c>
      <c r="I174" s="8" t="s">
        <v>42</v>
      </c>
    </row>
    <row r="175">
      <c r="A175" s="1"/>
      <c r="B175" s="1"/>
      <c r="D175" s="15"/>
      <c r="H175" s="8" t="s">
        <v>42</v>
      </c>
      <c r="I175" s="8" t="s">
        <v>42</v>
      </c>
    </row>
    <row r="176">
      <c r="A176" s="1"/>
      <c r="B176" s="1"/>
      <c r="D176" s="15"/>
      <c r="H176" s="8" t="s">
        <v>42</v>
      </c>
      <c r="I176" s="8" t="s">
        <v>42</v>
      </c>
    </row>
    <row r="177">
      <c r="A177" s="1"/>
      <c r="B177" s="1"/>
      <c r="D177" s="15"/>
      <c r="H177" s="8" t="s">
        <v>42</v>
      </c>
      <c r="I177" s="8" t="s">
        <v>42</v>
      </c>
    </row>
    <row r="178">
      <c r="A178" s="1"/>
      <c r="B178" s="1"/>
      <c r="D178" s="15"/>
      <c r="H178" s="8" t="s">
        <v>42</v>
      </c>
      <c r="I178" s="8" t="s">
        <v>42</v>
      </c>
    </row>
    <row r="179">
      <c r="A179" s="1"/>
      <c r="B179" s="1"/>
      <c r="D179" s="15"/>
      <c r="H179" s="8" t="s">
        <v>42</v>
      </c>
      <c r="I179" s="8" t="s">
        <v>42</v>
      </c>
    </row>
    <row r="180">
      <c r="A180" s="1"/>
      <c r="B180" s="1"/>
      <c r="D180" s="15"/>
      <c r="H180" s="8" t="s">
        <v>42</v>
      </c>
      <c r="I180" s="8" t="s">
        <v>42</v>
      </c>
    </row>
    <row r="181">
      <c r="A181" s="1"/>
      <c r="B181" s="1"/>
      <c r="D181" s="15"/>
      <c r="H181" s="8" t="s">
        <v>42</v>
      </c>
      <c r="I181" s="8" t="s">
        <v>42</v>
      </c>
    </row>
    <row r="182">
      <c r="A182" s="1"/>
      <c r="B182" s="1"/>
      <c r="D182" s="15"/>
      <c r="H182" s="8" t="s">
        <v>42</v>
      </c>
      <c r="I182" s="8" t="s">
        <v>42</v>
      </c>
    </row>
    <row r="183">
      <c r="A183" s="1"/>
      <c r="B183" s="1"/>
      <c r="D183" s="15"/>
      <c r="H183" s="8" t="s">
        <v>42</v>
      </c>
      <c r="I183" s="8" t="s">
        <v>42</v>
      </c>
    </row>
    <row r="184">
      <c r="A184" s="1"/>
      <c r="B184" s="1"/>
      <c r="D184" s="15"/>
      <c r="H184" s="8" t="s">
        <v>42</v>
      </c>
      <c r="I184" s="8" t="s">
        <v>42</v>
      </c>
    </row>
    <row r="185">
      <c r="A185" s="1"/>
      <c r="B185" s="1"/>
      <c r="D185" s="15"/>
      <c r="H185" s="8" t="s">
        <v>42</v>
      </c>
      <c r="I185" s="8" t="s">
        <v>42</v>
      </c>
    </row>
    <row r="186">
      <c r="A186" s="1"/>
      <c r="B186" s="1"/>
      <c r="D186" s="15"/>
      <c r="H186" s="8" t="s">
        <v>42</v>
      </c>
      <c r="I186" s="8" t="s">
        <v>42</v>
      </c>
    </row>
    <row r="187">
      <c r="A187" s="1"/>
      <c r="B187" s="1"/>
      <c r="D187" s="15"/>
      <c r="H187" s="8" t="s">
        <v>42</v>
      </c>
      <c r="I187" s="8" t="s">
        <v>42</v>
      </c>
    </row>
    <row r="188">
      <c r="A188" s="1"/>
      <c r="B188" s="1"/>
      <c r="D188" s="15"/>
      <c r="H188" s="8" t="s">
        <v>42</v>
      </c>
      <c r="I188" s="8" t="s">
        <v>42</v>
      </c>
    </row>
    <row r="189">
      <c r="A189" s="1"/>
      <c r="B189" s="1"/>
      <c r="D189" s="15"/>
      <c r="H189" s="8" t="s">
        <v>42</v>
      </c>
      <c r="I189" s="8" t="s">
        <v>42</v>
      </c>
    </row>
    <row r="190">
      <c r="A190" s="1"/>
      <c r="B190" s="1"/>
      <c r="D190" s="15"/>
      <c r="H190" s="8" t="s">
        <v>42</v>
      </c>
      <c r="I190" s="8" t="s">
        <v>42</v>
      </c>
    </row>
    <row r="191">
      <c r="A191" s="1"/>
      <c r="B191" s="1"/>
      <c r="D191" s="15"/>
      <c r="H191" s="8" t="s">
        <v>42</v>
      </c>
      <c r="I191" s="8" t="s">
        <v>42</v>
      </c>
    </row>
    <row r="192">
      <c r="A192" s="1"/>
      <c r="B192" s="1"/>
      <c r="D192" s="15"/>
      <c r="H192" s="8" t="s">
        <v>42</v>
      </c>
      <c r="I192" s="8" t="s">
        <v>42</v>
      </c>
    </row>
    <row r="193">
      <c r="A193" s="1"/>
      <c r="B193" s="1"/>
      <c r="D193" s="15"/>
      <c r="H193" s="8" t="s">
        <v>42</v>
      </c>
      <c r="I193" s="8" t="s">
        <v>42</v>
      </c>
    </row>
    <row r="194">
      <c r="A194" s="1"/>
      <c r="B194" s="1"/>
      <c r="D194" s="15"/>
      <c r="H194" s="8" t="s">
        <v>42</v>
      </c>
      <c r="I194" s="8" t="s">
        <v>42</v>
      </c>
    </row>
    <row r="195">
      <c r="A195" s="1"/>
      <c r="B195" s="1"/>
      <c r="D195" s="15"/>
      <c r="H195" s="8" t="s">
        <v>42</v>
      </c>
      <c r="I195" s="8" t="s">
        <v>42</v>
      </c>
    </row>
    <row r="196">
      <c r="A196" s="1"/>
      <c r="B196" s="1"/>
      <c r="D196" s="15"/>
      <c r="H196" s="8" t="s">
        <v>42</v>
      </c>
      <c r="I196" s="8" t="s">
        <v>42</v>
      </c>
    </row>
    <row r="197">
      <c r="A197" s="1"/>
      <c r="B197" s="1"/>
      <c r="D197" s="15"/>
      <c r="H197" s="8" t="s">
        <v>42</v>
      </c>
      <c r="I197" s="8" t="s">
        <v>42</v>
      </c>
    </row>
    <row r="198">
      <c r="A198" s="1"/>
      <c r="B198" s="1"/>
      <c r="D198" s="15"/>
      <c r="H198" s="8" t="s">
        <v>42</v>
      </c>
      <c r="I198" s="8" t="s">
        <v>42</v>
      </c>
    </row>
    <row r="199">
      <c r="A199" s="1"/>
      <c r="B199" s="1"/>
      <c r="D199" s="15"/>
      <c r="H199" s="8" t="s">
        <v>42</v>
      </c>
      <c r="I199" s="8" t="s">
        <v>42</v>
      </c>
    </row>
    <row r="200">
      <c r="A200" s="1"/>
      <c r="B200" s="1"/>
      <c r="D200" s="15"/>
      <c r="H200" s="8" t="s">
        <v>42</v>
      </c>
      <c r="I200" s="8" t="s">
        <v>42</v>
      </c>
    </row>
    <row r="201">
      <c r="A201" s="1"/>
      <c r="B201" s="1"/>
      <c r="D201" s="15"/>
      <c r="H201" s="8" t="s">
        <v>42</v>
      </c>
      <c r="I201" s="8" t="s">
        <v>42</v>
      </c>
    </row>
    <row r="202">
      <c r="A202" s="1"/>
      <c r="B202" s="1"/>
      <c r="D202" s="15"/>
      <c r="H202" s="8" t="s">
        <v>42</v>
      </c>
      <c r="I202" s="8" t="s">
        <v>42</v>
      </c>
    </row>
    <row r="203">
      <c r="A203" s="1"/>
      <c r="B203" s="1"/>
      <c r="D203" s="15"/>
      <c r="H203" s="8" t="s">
        <v>42</v>
      </c>
      <c r="I203" s="8" t="s">
        <v>42</v>
      </c>
    </row>
    <row r="204">
      <c r="A204" s="1"/>
      <c r="B204" s="1"/>
      <c r="D204" s="15"/>
      <c r="H204" s="8" t="s">
        <v>42</v>
      </c>
      <c r="I204" s="8" t="s">
        <v>42</v>
      </c>
    </row>
    <row r="205">
      <c r="A205" s="1"/>
      <c r="B205" s="1"/>
      <c r="D205" s="15"/>
      <c r="H205" s="8" t="s">
        <v>42</v>
      </c>
      <c r="I205" s="8" t="s">
        <v>42</v>
      </c>
    </row>
    <row r="206">
      <c r="A206" s="1"/>
      <c r="B206" s="1"/>
      <c r="D206" s="15"/>
      <c r="H206" s="8" t="s">
        <v>42</v>
      </c>
      <c r="I206" s="8" t="s">
        <v>42</v>
      </c>
    </row>
    <row r="207">
      <c r="A207" s="1"/>
      <c r="B207" s="1"/>
      <c r="D207" s="15"/>
      <c r="H207" s="8" t="s">
        <v>42</v>
      </c>
      <c r="I207" s="8" t="s">
        <v>42</v>
      </c>
    </row>
    <row r="208">
      <c r="A208" s="1"/>
      <c r="B208" s="1"/>
      <c r="D208" s="15"/>
      <c r="H208" s="8" t="s">
        <v>42</v>
      </c>
      <c r="I208" s="8" t="s">
        <v>42</v>
      </c>
    </row>
    <row r="209">
      <c r="A209" s="1"/>
      <c r="B209" s="1"/>
      <c r="D209" s="15"/>
      <c r="H209" s="8" t="s">
        <v>42</v>
      </c>
      <c r="I209" s="8" t="s">
        <v>42</v>
      </c>
    </row>
    <row r="210">
      <c r="A210" s="1"/>
      <c r="B210" s="1"/>
      <c r="D210" s="15"/>
      <c r="H210" s="8" t="s">
        <v>42</v>
      </c>
      <c r="I210" s="8" t="s">
        <v>42</v>
      </c>
    </row>
    <row r="211">
      <c r="A211" s="1"/>
      <c r="B211" s="1"/>
      <c r="D211" s="15"/>
      <c r="H211" s="8" t="s">
        <v>42</v>
      </c>
      <c r="I211" s="8" t="s">
        <v>42</v>
      </c>
    </row>
    <row r="212">
      <c r="A212" s="1"/>
      <c r="B212" s="1"/>
      <c r="D212" s="15"/>
      <c r="H212" s="8" t="s">
        <v>42</v>
      </c>
      <c r="I212" s="8" t="s">
        <v>42</v>
      </c>
    </row>
    <row r="213">
      <c r="A213" s="1"/>
      <c r="B213" s="1"/>
      <c r="D213" s="15"/>
      <c r="H213" s="8" t="s">
        <v>42</v>
      </c>
      <c r="I213" s="8" t="s">
        <v>42</v>
      </c>
    </row>
    <row r="214">
      <c r="A214" s="1"/>
      <c r="B214" s="1"/>
      <c r="D214" s="15"/>
      <c r="H214" s="8" t="s">
        <v>42</v>
      </c>
      <c r="I214" s="8" t="s">
        <v>42</v>
      </c>
    </row>
    <row r="215">
      <c r="A215" s="1"/>
      <c r="B215" s="1"/>
      <c r="D215" s="15"/>
      <c r="H215" s="8" t="s">
        <v>42</v>
      </c>
      <c r="I215" s="8" t="s">
        <v>42</v>
      </c>
    </row>
    <row r="216">
      <c r="A216" s="1"/>
      <c r="B216" s="1"/>
      <c r="D216" s="15"/>
      <c r="H216" s="8" t="s">
        <v>42</v>
      </c>
      <c r="I216" s="8" t="s">
        <v>42</v>
      </c>
    </row>
    <row r="217">
      <c r="A217" s="1"/>
      <c r="B217" s="1"/>
      <c r="D217" s="15"/>
      <c r="H217" s="8" t="s">
        <v>42</v>
      </c>
      <c r="I217" s="8" t="s">
        <v>42</v>
      </c>
    </row>
    <row r="218">
      <c r="A218" s="1"/>
      <c r="B218" s="1"/>
      <c r="D218" s="15"/>
      <c r="H218" s="8" t="s">
        <v>42</v>
      </c>
      <c r="I218" s="8" t="s">
        <v>42</v>
      </c>
    </row>
    <row r="219">
      <c r="A219" s="1"/>
      <c r="B219" s="1"/>
      <c r="D219" s="15"/>
      <c r="H219" s="8" t="s">
        <v>42</v>
      </c>
      <c r="I219" s="8" t="s">
        <v>42</v>
      </c>
    </row>
    <row r="220">
      <c r="A220" s="1"/>
      <c r="B220" s="1"/>
      <c r="D220" s="15"/>
      <c r="H220" s="8" t="s">
        <v>42</v>
      </c>
      <c r="I220" s="8" t="s">
        <v>42</v>
      </c>
    </row>
    <row r="221">
      <c r="A221" s="1"/>
      <c r="B221" s="1"/>
      <c r="D221" s="15"/>
      <c r="H221" s="8" t="s">
        <v>42</v>
      </c>
      <c r="I221" s="8" t="s">
        <v>42</v>
      </c>
    </row>
    <row r="222">
      <c r="A222" s="1"/>
      <c r="B222" s="1"/>
      <c r="D222" s="15"/>
      <c r="H222" s="8" t="s">
        <v>42</v>
      </c>
      <c r="I222" s="8" t="s">
        <v>42</v>
      </c>
    </row>
    <row r="223">
      <c r="A223" s="1"/>
      <c r="B223" s="1"/>
      <c r="D223" s="15"/>
      <c r="H223" s="8" t="s">
        <v>42</v>
      </c>
      <c r="I223" s="8" t="s">
        <v>42</v>
      </c>
    </row>
    <row r="224">
      <c r="A224" s="1"/>
      <c r="B224" s="1"/>
      <c r="D224" s="15"/>
      <c r="H224" s="8" t="s">
        <v>42</v>
      </c>
      <c r="I224" s="8" t="s">
        <v>42</v>
      </c>
    </row>
    <row r="225">
      <c r="A225" s="1"/>
      <c r="B225" s="1"/>
      <c r="D225" s="15"/>
      <c r="H225" s="8" t="s">
        <v>42</v>
      </c>
      <c r="I225" s="8" t="s">
        <v>42</v>
      </c>
    </row>
    <row r="226">
      <c r="A226" s="1"/>
      <c r="B226" s="1"/>
      <c r="D226" s="15"/>
      <c r="H226" s="8" t="s">
        <v>42</v>
      </c>
      <c r="I226" s="8" t="s">
        <v>42</v>
      </c>
    </row>
    <row r="227">
      <c r="A227" s="1"/>
      <c r="B227" s="1"/>
      <c r="D227" s="15"/>
      <c r="H227" s="8" t="s">
        <v>42</v>
      </c>
      <c r="I227" s="8" t="s">
        <v>42</v>
      </c>
    </row>
    <row r="228">
      <c r="A228" s="1"/>
      <c r="B228" s="1"/>
      <c r="D228" s="15"/>
      <c r="H228" s="8" t="s">
        <v>42</v>
      </c>
      <c r="I228" s="8" t="s">
        <v>42</v>
      </c>
    </row>
    <row r="229">
      <c r="A229" s="1"/>
      <c r="B229" s="1"/>
      <c r="D229" s="15"/>
      <c r="H229" s="8" t="s">
        <v>42</v>
      </c>
      <c r="I229" s="8" t="s">
        <v>42</v>
      </c>
    </row>
    <row r="230">
      <c r="A230" s="1"/>
      <c r="B230" s="1"/>
      <c r="D230" s="15"/>
      <c r="H230" s="8" t="s">
        <v>42</v>
      </c>
      <c r="I230" s="8" t="s">
        <v>42</v>
      </c>
    </row>
    <row r="231">
      <c r="A231" s="1"/>
      <c r="B231" s="1"/>
      <c r="D231" s="15"/>
      <c r="H231" s="8" t="s">
        <v>42</v>
      </c>
      <c r="I231" s="8" t="s">
        <v>42</v>
      </c>
    </row>
    <row r="232">
      <c r="A232" s="1"/>
      <c r="B232" s="1"/>
      <c r="D232" s="15"/>
      <c r="H232" s="8" t="s">
        <v>42</v>
      </c>
      <c r="I232" s="8" t="s">
        <v>42</v>
      </c>
    </row>
    <row r="233">
      <c r="A233" s="1"/>
      <c r="B233" s="1"/>
      <c r="D233" s="15"/>
      <c r="H233" s="8" t="s">
        <v>42</v>
      </c>
      <c r="I233" s="8" t="s">
        <v>42</v>
      </c>
    </row>
    <row r="234">
      <c r="A234" s="1"/>
      <c r="B234" s="1"/>
      <c r="D234" s="15"/>
      <c r="H234" s="8" t="s">
        <v>42</v>
      </c>
      <c r="I234" s="8" t="s">
        <v>42</v>
      </c>
    </row>
    <row r="235">
      <c r="A235" s="1"/>
      <c r="B235" s="1"/>
      <c r="D235" s="15"/>
      <c r="H235" s="8" t="s">
        <v>42</v>
      </c>
      <c r="I235" s="8" t="s">
        <v>42</v>
      </c>
    </row>
    <row r="236">
      <c r="A236" s="1"/>
      <c r="B236" s="1"/>
      <c r="D236" s="15"/>
      <c r="H236" s="8" t="s">
        <v>42</v>
      </c>
      <c r="I236" s="8" t="s">
        <v>42</v>
      </c>
    </row>
    <row r="237">
      <c r="A237" s="1"/>
      <c r="B237" s="1"/>
      <c r="D237" s="15"/>
      <c r="H237" s="8" t="s">
        <v>42</v>
      </c>
      <c r="I237" s="8" t="s">
        <v>42</v>
      </c>
    </row>
    <row r="238">
      <c r="A238" s="1"/>
      <c r="B238" s="1"/>
      <c r="D238" s="15"/>
      <c r="H238" s="8" t="s">
        <v>42</v>
      </c>
      <c r="I238" s="8" t="s">
        <v>42</v>
      </c>
    </row>
    <row r="239">
      <c r="A239" s="1"/>
      <c r="B239" s="1"/>
      <c r="D239" s="15"/>
      <c r="H239" s="8" t="s">
        <v>42</v>
      </c>
      <c r="I239" s="8" t="s">
        <v>42</v>
      </c>
    </row>
    <row r="240">
      <c r="A240" s="1"/>
      <c r="B240" s="1"/>
      <c r="D240" s="15"/>
      <c r="H240" s="8" t="s">
        <v>42</v>
      </c>
      <c r="I240" s="8" t="s">
        <v>42</v>
      </c>
    </row>
    <row r="241">
      <c r="A241" s="1"/>
      <c r="B241" s="1"/>
      <c r="D241" s="15"/>
      <c r="H241" s="8" t="s">
        <v>42</v>
      </c>
      <c r="I241" s="8" t="s">
        <v>42</v>
      </c>
    </row>
    <row r="242">
      <c r="A242" s="1"/>
      <c r="B242" s="1"/>
      <c r="D242" s="15"/>
      <c r="H242" s="8" t="s">
        <v>42</v>
      </c>
      <c r="I242" s="8" t="s">
        <v>42</v>
      </c>
    </row>
    <row r="243">
      <c r="A243" s="1"/>
      <c r="B243" s="1"/>
      <c r="D243" s="15"/>
      <c r="H243" s="8" t="s">
        <v>42</v>
      </c>
      <c r="I243" s="8" t="s">
        <v>42</v>
      </c>
    </row>
    <row r="244">
      <c r="A244" s="1"/>
      <c r="B244" s="1"/>
      <c r="D244" s="15"/>
      <c r="H244" s="8" t="s">
        <v>42</v>
      </c>
      <c r="I244" s="8" t="s">
        <v>42</v>
      </c>
    </row>
    <row r="245">
      <c r="A245" s="1"/>
      <c r="B245" s="1"/>
      <c r="D245" s="15"/>
      <c r="H245" s="8" t="s">
        <v>42</v>
      </c>
      <c r="I245" s="8" t="s">
        <v>42</v>
      </c>
    </row>
    <row r="246">
      <c r="A246" s="1"/>
      <c r="B246" s="1"/>
      <c r="D246" s="15"/>
      <c r="H246" s="8" t="s">
        <v>42</v>
      </c>
      <c r="I246" s="8" t="s">
        <v>42</v>
      </c>
    </row>
    <row r="247">
      <c r="A247" s="1"/>
      <c r="B247" s="1"/>
      <c r="D247" s="15"/>
      <c r="H247" s="8" t="s">
        <v>42</v>
      </c>
      <c r="I247" s="8" t="s">
        <v>42</v>
      </c>
    </row>
    <row r="248">
      <c r="A248" s="1"/>
      <c r="B248" s="1"/>
      <c r="D248" s="15"/>
      <c r="H248" s="8" t="s">
        <v>42</v>
      </c>
      <c r="I248" s="8" t="s">
        <v>42</v>
      </c>
    </row>
    <row r="249">
      <c r="A249" s="1"/>
      <c r="B249" s="1"/>
      <c r="D249" s="15"/>
      <c r="H249" s="8" t="s">
        <v>42</v>
      </c>
      <c r="I249" s="8" t="s">
        <v>42</v>
      </c>
    </row>
    <row r="250">
      <c r="A250" s="1"/>
      <c r="B250" s="1"/>
      <c r="D250" s="15"/>
      <c r="H250" s="8" t="s">
        <v>42</v>
      </c>
      <c r="I250" s="8" t="s">
        <v>42</v>
      </c>
    </row>
    <row r="251">
      <c r="A251" s="1"/>
      <c r="B251" s="1"/>
      <c r="D251" s="15"/>
      <c r="H251" s="8" t="s">
        <v>42</v>
      </c>
      <c r="I251" s="8" t="s">
        <v>42</v>
      </c>
    </row>
    <row r="252">
      <c r="A252" s="1"/>
      <c r="B252" s="1"/>
      <c r="D252" s="15"/>
      <c r="H252" s="8" t="s">
        <v>42</v>
      </c>
      <c r="I252" s="8" t="s">
        <v>42</v>
      </c>
    </row>
    <row r="253">
      <c r="A253" s="1"/>
      <c r="B253" s="1"/>
      <c r="D253" s="15"/>
      <c r="H253" s="8" t="s">
        <v>42</v>
      </c>
      <c r="I253" s="8" t="s">
        <v>42</v>
      </c>
    </row>
    <row r="254">
      <c r="A254" s="1"/>
      <c r="B254" s="1"/>
      <c r="D254" s="15"/>
      <c r="H254" s="8" t="s">
        <v>42</v>
      </c>
      <c r="I254" s="8" t="s">
        <v>42</v>
      </c>
    </row>
    <row r="255">
      <c r="A255" s="1"/>
      <c r="B255" s="1"/>
      <c r="D255" s="15"/>
      <c r="H255" s="8" t="s">
        <v>42</v>
      </c>
      <c r="I255" s="8" t="s">
        <v>42</v>
      </c>
    </row>
    <row r="256">
      <c r="A256" s="1"/>
      <c r="B256" s="1"/>
      <c r="D256" s="15"/>
      <c r="H256" s="8" t="s">
        <v>42</v>
      </c>
      <c r="I256" s="8" t="s">
        <v>42</v>
      </c>
    </row>
    <row r="257">
      <c r="A257" s="1"/>
      <c r="B257" s="1"/>
      <c r="D257" s="15"/>
      <c r="H257" s="8" t="s">
        <v>42</v>
      </c>
      <c r="I257" s="8" t="s">
        <v>42</v>
      </c>
    </row>
    <row r="258">
      <c r="A258" s="1"/>
      <c r="B258" s="1"/>
      <c r="D258" s="15"/>
      <c r="H258" s="8" t="s">
        <v>42</v>
      </c>
      <c r="I258" s="8" t="s">
        <v>42</v>
      </c>
    </row>
    <row r="259">
      <c r="A259" s="1"/>
      <c r="B259" s="1"/>
      <c r="D259" s="15"/>
      <c r="H259" s="8" t="s">
        <v>42</v>
      </c>
      <c r="I259" s="8" t="s">
        <v>42</v>
      </c>
    </row>
    <row r="260">
      <c r="A260" s="1"/>
      <c r="B260" s="1"/>
      <c r="D260" s="15"/>
      <c r="H260" s="8" t="s">
        <v>42</v>
      </c>
      <c r="I260" s="8" t="s">
        <v>42</v>
      </c>
    </row>
    <row r="261">
      <c r="A261" s="1"/>
      <c r="B261" s="1"/>
      <c r="D261" s="15"/>
      <c r="H261" s="8" t="s">
        <v>42</v>
      </c>
      <c r="I261" s="8" t="s">
        <v>42</v>
      </c>
    </row>
    <row r="262">
      <c r="A262" s="1"/>
      <c r="B262" s="1"/>
      <c r="D262" s="15"/>
      <c r="H262" s="8" t="s">
        <v>42</v>
      </c>
      <c r="I262" s="8" t="s">
        <v>42</v>
      </c>
    </row>
    <row r="263">
      <c r="A263" s="1"/>
      <c r="B263" s="1"/>
      <c r="D263" s="15"/>
      <c r="H263" s="8" t="s">
        <v>42</v>
      </c>
      <c r="I263" s="8" t="s">
        <v>42</v>
      </c>
    </row>
    <row r="264">
      <c r="A264" s="1"/>
      <c r="B264" s="1"/>
      <c r="D264" s="15"/>
      <c r="H264" s="8" t="s">
        <v>42</v>
      </c>
      <c r="I264" s="8" t="s">
        <v>42</v>
      </c>
    </row>
    <row r="265">
      <c r="A265" s="1"/>
      <c r="B265" s="1"/>
      <c r="D265" s="15"/>
      <c r="H265" s="8" t="s">
        <v>42</v>
      </c>
      <c r="I265" s="8" t="s">
        <v>42</v>
      </c>
    </row>
    <row r="266">
      <c r="A266" s="1"/>
      <c r="B266" s="1"/>
      <c r="D266" s="15"/>
      <c r="H266" s="8" t="s">
        <v>42</v>
      </c>
      <c r="I266" s="8" t="s">
        <v>42</v>
      </c>
    </row>
    <row r="267">
      <c r="A267" s="1"/>
      <c r="B267" s="1"/>
      <c r="D267" s="15"/>
      <c r="H267" s="8" t="s">
        <v>42</v>
      </c>
      <c r="I267" s="8" t="s">
        <v>42</v>
      </c>
    </row>
    <row r="268">
      <c r="A268" s="1"/>
      <c r="B268" s="1"/>
      <c r="D268" s="15"/>
      <c r="H268" s="8" t="s">
        <v>42</v>
      </c>
      <c r="I268" s="8" t="s">
        <v>42</v>
      </c>
    </row>
    <row r="269">
      <c r="A269" s="1"/>
      <c r="B269" s="1"/>
      <c r="D269" s="15"/>
      <c r="H269" s="8" t="s">
        <v>42</v>
      </c>
      <c r="I269" s="8" t="s">
        <v>42</v>
      </c>
    </row>
    <row r="270">
      <c r="A270" s="1"/>
      <c r="B270" s="1"/>
      <c r="D270" s="15"/>
      <c r="H270" s="8" t="s">
        <v>42</v>
      </c>
      <c r="I270" s="8" t="s">
        <v>42</v>
      </c>
    </row>
    <row r="271">
      <c r="A271" s="1"/>
      <c r="B271" s="1"/>
      <c r="D271" s="15"/>
      <c r="H271" s="8" t="s">
        <v>42</v>
      </c>
      <c r="I271" s="8" t="s">
        <v>42</v>
      </c>
    </row>
    <row r="272">
      <c r="A272" s="1"/>
      <c r="B272" s="1"/>
      <c r="D272" s="15"/>
      <c r="H272" s="8" t="s">
        <v>42</v>
      </c>
      <c r="I272" s="8" t="s">
        <v>42</v>
      </c>
    </row>
    <row r="273">
      <c r="A273" s="1"/>
      <c r="B273" s="1"/>
      <c r="D273" s="15"/>
      <c r="H273" s="8" t="s">
        <v>42</v>
      </c>
      <c r="I273" s="8" t="s">
        <v>42</v>
      </c>
    </row>
    <row r="274">
      <c r="A274" s="1"/>
      <c r="B274" s="1"/>
      <c r="D274" s="15"/>
      <c r="H274" s="8" t="s">
        <v>42</v>
      </c>
      <c r="I274" s="8" t="s">
        <v>42</v>
      </c>
    </row>
    <row r="275">
      <c r="A275" s="1"/>
      <c r="B275" s="1"/>
      <c r="D275" s="15"/>
      <c r="H275" s="8" t="s">
        <v>42</v>
      </c>
      <c r="I275" s="8" t="s">
        <v>42</v>
      </c>
    </row>
    <row r="276">
      <c r="A276" s="1"/>
      <c r="B276" s="1"/>
      <c r="D276" s="15"/>
      <c r="H276" s="8" t="s">
        <v>42</v>
      </c>
      <c r="I276" s="8" t="s">
        <v>42</v>
      </c>
    </row>
    <row r="277">
      <c r="A277" s="1"/>
      <c r="B277" s="1"/>
      <c r="D277" s="15"/>
      <c r="H277" s="8" t="s">
        <v>42</v>
      </c>
      <c r="I277" s="8" t="s">
        <v>42</v>
      </c>
    </row>
    <row r="278">
      <c r="A278" s="1"/>
      <c r="B278" s="1"/>
      <c r="D278" s="15"/>
      <c r="H278" s="8" t="s">
        <v>42</v>
      </c>
      <c r="I278" s="8" t="s">
        <v>42</v>
      </c>
    </row>
    <row r="279">
      <c r="A279" s="1"/>
      <c r="B279" s="1"/>
      <c r="D279" s="15"/>
      <c r="H279" s="8" t="s">
        <v>42</v>
      </c>
      <c r="I279" s="8" t="s">
        <v>42</v>
      </c>
    </row>
    <row r="280">
      <c r="A280" s="1"/>
      <c r="B280" s="1"/>
      <c r="D280" s="15"/>
      <c r="H280" s="8" t="s">
        <v>42</v>
      </c>
      <c r="I280" s="8" t="s">
        <v>42</v>
      </c>
    </row>
    <row r="281">
      <c r="A281" s="1"/>
      <c r="B281" s="1"/>
      <c r="D281" s="15"/>
      <c r="H281" s="8" t="s">
        <v>42</v>
      </c>
      <c r="I281" s="8" t="s">
        <v>42</v>
      </c>
    </row>
    <row r="282">
      <c r="A282" s="1"/>
      <c r="B282" s="1"/>
      <c r="D282" s="15"/>
      <c r="H282" s="8" t="s">
        <v>42</v>
      </c>
      <c r="I282" s="8" t="s">
        <v>42</v>
      </c>
    </row>
    <row r="283">
      <c r="A283" s="1"/>
      <c r="B283" s="1"/>
      <c r="D283" s="15"/>
      <c r="H283" s="8" t="s">
        <v>42</v>
      </c>
      <c r="I283" s="8" t="s">
        <v>42</v>
      </c>
    </row>
    <row r="284">
      <c r="A284" s="1"/>
      <c r="B284" s="1"/>
      <c r="D284" s="15"/>
      <c r="H284" s="8" t="s">
        <v>42</v>
      </c>
      <c r="I284" s="8" t="s">
        <v>42</v>
      </c>
    </row>
    <row r="285">
      <c r="A285" s="1"/>
      <c r="B285" s="1"/>
      <c r="D285" s="15"/>
      <c r="H285" s="8" t="s">
        <v>42</v>
      </c>
      <c r="I285" s="8" t="s">
        <v>42</v>
      </c>
    </row>
    <row r="286">
      <c r="A286" s="1"/>
      <c r="B286" s="1"/>
      <c r="D286" s="15"/>
      <c r="H286" s="8" t="s">
        <v>42</v>
      </c>
      <c r="I286" s="8" t="s">
        <v>42</v>
      </c>
    </row>
    <row r="287">
      <c r="A287" s="1"/>
      <c r="B287" s="1"/>
      <c r="D287" s="15"/>
      <c r="H287" s="8" t="s">
        <v>42</v>
      </c>
      <c r="I287" s="8" t="s">
        <v>42</v>
      </c>
    </row>
    <row r="288">
      <c r="A288" s="1"/>
      <c r="B288" s="1"/>
      <c r="D288" s="15"/>
      <c r="H288" s="8" t="s">
        <v>42</v>
      </c>
      <c r="I288" s="8" t="s">
        <v>42</v>
      </c>
    </row>
    <row r="289">
      <c r="A289" s="1"/>
      <c r="B289" s="1"/>
      <c r="D289" s="15"/>
      <c r="H289" s="8" t="s">
        <v>42</v>
      </c>
      <c r="I289" s="8" t="s">
        <v>42</v>
      </c>
    </row>
    <row r="290">
      <c r="A290" s="1"/>
      <c r="B290" s="1"/>
      <c r="D290" s="15"/>
      <c r="H290" s="8" t="s">
        <v>42</v>
      </c>
      <c r="I290" s="8" t="s">
        <v>42</v>
      </c>
    </row>
    <row r="291">
      <c r="A291" s="1"/>
      <c r="B291" s="1"/>
      <c r="D291" s="15"/>
      <c r="H291" s="8" t="s">
        <v>42</v>
      </c>
      <c r="I291" s="8" t="s">
        <v>42</v>
      </c>
    </row>
    <row r="292">
      <c r="A292" s="1"/>
      <c r="B292" s="1"/>
      <c r="D292" s="15"/>
      <c r="H292" s="8" t="s">
        <v>42</v>
      </c>
      <c r="I292" s="8" t="s">
        <v>42</v>
      </c>
    </row>
    <row r="293">
      <c r="A293" s="1"/>
      <c r="B293" s="1"/>
      <c r="D293" s="15"/>
      <c r="H293" s="8" t="s">
        <v>42</v>
      </c>
      <c r="I293" s="8" t="s">
        <v>42</v>
      </c>
    </row>
    <row r="294">
      <c r="A294" s="1"/>
      <c r="B294" s="1"/>
      <c r="D294" s="15"/>
      <c r="H294" s="8" t="s">
        <v>42</v>
      </c>
      <c r="I294" s="8" t="s">
        <v>42</v>
      </c>
    </row>
    <row r="295">
      <c r="A295" s="1"/>
      <c r="B295" s="1"/>
      <c r="D295" s="15"/>
      <c r="H295" s="8" t="s">
        <v>42</v>
      </c>
      <c r="I295" s="8" t="s">
        <v>42</v>
      </c>
    </row>
    <row r="296">
      <c r="A296" s="1"/>
      <c r="B296" s="1"/>
      <c r="D296" s="15"/>
      <c r="H296" s="8" t="s">
        <v>42</v>
      </c>
      <c r="I296" s="8" t="s">
        <v>42</v>
      </c>
    </row>
    <row r="297">
      <c r="A297" s="1"/>
      <c r="B297" s="1"/>
      <c r="D297" s="15"/>
      <c r="H297" s="8" t="s">
        <v>42</v>
      </c>
      <c r="I297" s="8" t="s">
        <v>42</v>
      </c>
    </row>
    <row r="298">
      <c r="A298" s="1"/>
      <c r="B298" s="1"/>
      <c r="D298" s="15"/>
      <c r="H298" s="8" t="s">
        <v>42</v>
      </c>
      <c r="I298" s="8" t="s">
        <v>42</v>
      </c>
    </row>
    <row r="299">
      <c r="A299" s="1"/>
      <c r="B299" s="1"/>
      <c r="D299" s="15"/>
      <c r="H299" s="8" t="s">
        <v>42</v>
      </c>
      <c r="I299" s="8" t="s">
        <v>42</v>
      </c>
    </row>
    <row r="300">
      <c r="A300" s="1"/>
      <c r="B300" s="1"/>
      <c r="D300" s="15"/>
      <c r="H300" s="8" t="s">
        <v>42</v>
      </c>
      <c r="I300" s="8" t="s">
        <v>42</v>
      </c>
    </row>
    <row r="301">
      <c r="A301" s="1"/>
      <c r="B301" s="1"/>
      <c r="D301" s="15"/>
      <c r="H301" s="8" t="s">
        <v>42</v>
      </c>
      <c r="I301" s="8" t="s">
        <v>42</v>
      </c>
    </row>
    <row r="302">
      <c r="A302" s="1"/>
      <c r="B302" s="1"/>
      <c r="D302" s="15"/>
      <c r="H302" s="8" t="s">
        <v>42</v>
      </c>
      <c r="I302" s="8" t="s">
        <v>42</v>
      </c>
    </row>
    <row r="303">
      <c r="A303" s="1"/>
      <c r="B303" s="1"/>
      <c r="D303" s="15"/>
      <c r="H303" s="8" t="s">
        <v>42</v>
      </c>
      <c r="I303" s="8" t="s">
        <v>42</v>
      </c>
    </row>
    <row r="304">
      <c r="A304" s="1"/>
      <c r="B304" s="1"/>
      <c r="D304" s="15"/>
      <c r="H304" s="8" t="s">
        <v>42</v>
      </c>
      <c r="I304" s="8" t="s">
        <v>42</v>
      </c>
    </row>
    <row r="305">
      <c r="A305" s="1"/>
      <c r="B305" s="1"/>
      <c r="D305" s="15"/>
      <c r="H305" s="8" t="s">
        <v>42</v>
      </c>
      <c r="I305" s="8" t="s">
        <v>42</v>
      </c>
    </row>
    <row r="306">
      <c r="A306" s="1"/>
      <c r="B306" s="1"/>
      <c r="D306" s="15"/>
      <c r="H306" s="8" t="s">
        <v>42</v>
      </c>
      <c r="I306" s="8" t="s">
        <v>42</v>
      </c>
    </row>
    <row r="307">
      <c r="A307" s="1"/>
      <c r="B307" s="1"/>
      <c r="D307" s="15"/>
      <c r="H307" s="8" t="s">
        <v>42</v>
      </c>
      <c r="I307" s="8" t="s">
        <v>42</v>
      </c>
    </row>
    <row r="308">
      <c r="A308" s="1"/>
      <c r="B308" s="1"/>
      <c r="D308" s="15"/>
      <c r="H308" s="8" t="s">
        <v>42</v>
      </c>
      <c r="I308" s="8" t="s">
        <v>42</v>
      </c>
    </row>
    <row r="309">
      <c r="A309" s="1"/>
      <c r="B309" s="1"/>
      <c r="D309" s="15"/>
      <c r="H309" s="8" t="s">
        <v>42</v>
      </c>
      <c r="I309" s="8" t="s">
        <v>42</v>
      </c>
    </row>
    <row r="310">
      <c r="A310" s="1"/>
      <c r="B310" s="1"/>
      <c r="D310" s="15"/>
      <c r="H310" s="8" t="s">
        <v>42</v>
      </c>
      <c r="I310" s="8" t="s">
        <v>42</v>
      </c>
    </row>
    <row r="311">
      <c r="A311" s="1"/>
      <c r="B311" s="1"/>
      <c r="D311" s="15"/>
      <c r="H311" s="8" t="s">
        <v>42</v>
      </c>
      <c r="I311" s="8" t="s">
        <v>42</v>
      </c>
    </row>
    <row r="312">
      <c r="A312" s="1"/>
      <c r="B312" s="1"/>
      <c r="D312" s="15"/>
      <c r="H312" s="8" t="s">
        <v>42</v>
      </c>
      <c r="I312" s="8" t="s">
        <v>42</v>
      </c>
    </row>
    <row r="313">
      <c r="A313" s="1"/>
      <c r="B313" s="1"/>
      <c r="D313" s="15"/>
      <c r="H313" s="8" t="s">
        <v>42</v>
      </c>
      <c r="I313" s="8" t="s">
        <v>42</v>
      </c>
    </row>
    <row r="314">
      <c r="A314" s="1"/>
      <c r="B314" s="1"/>
      <c r="D314" s="15"/>
      <c r="H314" s="8" t="s">
        <v>42</v>
      </c>
      <c r="I314" s="8" t="s">
        <v>42</v>
      </c>
    </row>
    <row r="315">
      <c r="A315" s="1"/>
      <c r="B315" s="1"/>
      <c r="D315" s="15"/>
      <c r="H315" s="8" t="s">
        <v>42</v>
      </c>
      <c r="I315" s="8" t="s">
        <v>42</v>
      </c>
    </row>
    <row r="316">
      <c r="A316" s="1"/>
      <c r="B316" s="1"/>
      <c r="D316" s="15"/>
      <c r="H316" s="8" t="s">
        <v>42</v>
      </c>
      <c r="I316" s="8" t="s">
        <v>42</v>
      </c>
    </row>
    <row r="317">
      <c r="A317" s="1"/>
      <c r="B317" s="1"/>
      <c r="D317" s="15"/>
      <c r="H317" s="8" t="s">
        <v>42</v>
      </c>
      <c r="I317" s="8" t="s">
        <v>42</v>
      </c>
    </row>
    <row r="318">
      <c r="A318" s="1"/>
      <c r="B318" s="1"/>
      <c r="D318" s="15"/>
      <c r="H318" s="8" t="s">
        <v>42</v>
      </c>
      <c r="I318" s="8" t="s">
        <v>42</v>
      </c>
    </row>
    <row r="319">
      <c r="A319" s="1"/>
      <c r="B319" s="1"/>
      <c r="D319" s="15"/>
      <c r="H319" s="8" t="s">
        <v>42</v>
      </c>
      <c r="I319" s="8" t="s">
        <v>42</v>
      </c>
    </row>
    <row r="320">
      <c r="A320" s="1"/>
      <c r="B320" s="1"/>
      <c r="D320" s="15"/>
      <c r="H320" s="8" t="s">
        <v>42</v>
      </c>
      <c r="I320" s="8" t="s">
        <v>42</v>
      </c>
    </row>
    <row r="321">
      <c r="A321" s="1"/>
      <c r="B321" s="1"/>
      <c r="D321" s="15"/>
      <c r="H321" s="8" t="s">
        <v>42</v>
      </c>
      <c r="I321" s="8" t="s">
        <v>42</v>
      </c>
    </row>
    <row r="322">
      <c r="A322" s="1"/>
      <c r="B322" s="1"/>
      <c r="D322" s="15"/>
      <c r="H322" s="8" t="s">
        <v>42</v>
      </c>
      <c r="I322" s="8" t="s">
        <v>42</v>
      </c>
    </row>
    <row r="323">
      <c r="A323" s="1"/>
      <c r="B323" s="1"/>
      <c r="D323" s="15"/>
      <c r="H323" s="8" t="s">
        <v>42</v>
      </c>
      <c r="I323" s="8" t="s">
        <v>42</v>
      </c>
    </row>
    <row r="324">
      <c r="A324" s="1"/>
      <c r="B324" s="1"/>
      <c r="D324" s="15"/>
      <c r="H324" s="8" t="s">
        <v>42</v>
      </c>
      <c r="I324" s="8" t="s">
        <v>42</v>
      </c>
    </row>
    <row r="325">
      <c r="A325" s="1"/>
      <c r="B325" s="1"/>
      <c r="D325" s="15"/>
      <c r="H325" s="8" t="s">
        <v>42</v>
      </c>
      <c r="I325" s="8" t="s">
        <v>42</v>
      </c>
    </row>
    <row r="326">
      <c r="A326" s="1"/>
      <c r="B326" s="1"/>
      <c r="D326" s="15"/>
      <c r="H326" s="8" t="s">
        <v>42</v>
      </c>
      <c r="I326" s="8" t="s">
        <v>42</v>
      </c>
    </row>
    <row r="327">
      <c r="A327" s="1"/>
      <c r="B327" s="1"/>
      <c r="D327" s="15"/>
      <c r="H327" s="8" t="s">
        <v>42</v>
      </c>
      <c r="I327" s="8" t="s">
        <v>42</v>
      </c>
    </row>
    <row r="328">
      <c r="A328" s="1"/>
      <c r="B328" s="1"/>
      <c r="D328" s="15"/>
      <c r="H328" s="8" t="s">
        <v>42</v>
      </c>
      <c r="I328" s="8" t="s">
        <v>42</v>
      </c>
    </row>
    <row r="329">
      <c r="A329" s="1"/>
      <c r="B329" s="1"/>
      <c r="D329" s="15"/>
      <c r="H329" s="8" t="s">
        <v>42</v>
      </c>
      <c r="I329" s="8" t="s">
        <v>42</v>
      </c>
    </row>
    <row r="330">
      <c r="A330" s="1"/>
      <c r="B330" s="1"/>
      <c r="D330" s="15"/>
      <c r="H330" s="8" t="s">
        <v>42</v>
      </c>
      <c r="I330" s="8" t="s">
        <v>42</v>
      </c>
    </row>
    <row r="331">
      <c r="A331" s="1"/>
      <c r="B331" s="1"/>
      <c r="D331" s="15"/>
      <c r="H331" s="8" t="s">
        <v>42</v>
      </c>
      <c r="I331" s="8" t="s">
        <v>42</v>
      </c>
    </row>
    <row r="332">
      <c r="A332" s="1"/>
      <c r="B332" s="1"/>
      <c r="D332" s="15"/>
      <c r="H332" s="8" t="s">
        <v>42</v>
      </c>
      <c r="I332" s="8" t="s">
        <v>42</v>
      </c>
    </row>
    <row r="333">
      <c r="A333" s="1"/>
      <c r="B333" s="1"/>
      <c r="D333" s="15"/>
      <c r="H333" s="8" t="s">
        <v>42</v>
      </c>
      <c r="I333" s="8" t="s">
        <v>42</v>
      </c>
    </row>
    <row r="334">
      <c r="A334" s="1"/>
      <c r="B334" s="1"/>
      <c r="D334" s="15"/>
      <c r="H334" s="8" t="s">
        <v>42</v>
      </c>
      <c r="I334" s="8" t="s">
        <v>42</v>
      </c>
    </row>
    <row r="335">
      <c r="A335" s="1"/>
      <c r="B335" s="1"/>
      <c r="D335" s="15"/>
      <c r="H335" s="8" t="s">
        <v>42</v>
      </c>
      <c r="I335" s="8" t="s">
        <v>42</v>
      </c>
    </row>
    <row r="336">
      <c r="A336" s="1"/>
      <c r="B336" s="1"/>
      <c r="D336" s="15"/>
      <c r="H336" s="8" t="s">
        <v>42</v>
      </c>
      <c r="I336" s="8" t="s">
        <v>42</v>
      </c>
    </row>
    <row r="337">
      <c r="A337" s="1"/>
      <c r="B337" s="1"/>
      <c r="D337" s="15"/>
      <c r="H337" s="8" t="s">
        <v>42</v>
      </c>
      <c r="I337" s="8" t="s">
        <v>42</v>
      </c>
    </row>
    <row r="338">
      <c r="A338" s="1"/>
      <c r="B338" s="1"/>
      <c r="D338" s="15"/>
      <c r="H338" s="8" t="s">
        <v>42</v>
      </c>
      <c r="I338" s="8" t="s">
        <v>42</v>
      </c>
    </row>
    <row r="339">
      <c r="A339" s="1"/>
      <c r="B339" s="1"/>
      <c r="D339" s="15"/>
      <c r="H339" s="8" t="s">
        <v>42</v>
      </c>
      <c r="I339" s="8" t="s">
        <v>42</v>
      </c>
    </row>
    <row r="340">
      <c r="A340" s="1"/>
      <c r="B340" s="1"/>
      <c r="D340" s="15"/>
      <c r="H340" s="8" t="s">
        <v>42</v>
      </c>
      <c r="I340" s="8" t="s">
        <v>42</v>
      </c>
    </row>
    <row r="341">
      <c r="A341" s="1"/>
      <c r="B341" s="1"/>
      <c r="D341" s="15"/>
      <c r="H341" s="8" t="s">
        <v>42</v>
      </c>
      <c r="I341" s="8" t="s">
        <v>42</v>
      </c>
    </row>
    <row r="342">
      <c r="A342" s="1"/>
      <c r="B342" s="1"/>
      <c r="D342" s="15"/>
      <c r="H342" s="8" t="s">
        <v>42</v>
      </c>
      <c r="I342" s="8" t="s">
        <v>42</v>
      </c>
    </row>
    <row r="343">
      <c r="A343" s="1"/>
      <c r="B343" s="1"/>
      <c r="D343" s="15"/>
      <c r="H343" s="8" t="s">
        <v>42</v>
      </c>
      <c r="I343" s="8" t="s">
        <v>42</v>
      </c>
    </row>
    <row r="344">
      <c r="A344" s="1"/>
      <c r="B344" s="1"/>
      <c r="D344" s="15"/>
      <c r="H344" s="8" t="s">
        <v>42</v>
      </c>
      <c r="I344" s="8" t="s">
        <v>42</v>
      </c>
    </row>
    <row r="345">
      <c r="A345" s="1"/>
      <c r="B345" s="1"/>
      <c r="D345" s="15"/>
      <c r="H345" s="8" t="s">
        <v>42</v>
      </c>
      <c r="I345" s="8" t="s">
        <v>42</v>
      </c>
    </row>
    <row r="346">
      <c r="A346" s="1"/>
      <c r="B346" s="1"/>
      <c r="D346" s="15"/>
      <c r="H346" s="8" t="s">
        <v>42</v>
      </c>
      <c r="I346" s="8" t="s">
        <v>42</v>
      </c>
    </row>
    <row r="347">
      <c r="A347" s="1"/>
      <c r="B347" s="1"/>
      <c r="D347" s="15"/>
      <c r="H347" s="8" t="s">
        <v>42</v>
      </c>
      <c r="I347" s="8" t="s">
        <v>42</v>
      </c>
    </row>
    <row r="348">
      <c r="A348" s="1"/>
      <c r="B348" s="1"/>
      <c r="D348" s="15"/>
      <c r="H348" s="8" t="s">
        <v>42</v>
      </c>
      <c r="I348" s="8" t="s">
        <v>42</v>
      </c>
    </row>
    <row r="349">
      <c r="A349" s="1"/>
      <c r="B349" s="1"/>
      <c r="D349" s="15"/>
      <c r="H349" s="8" t="s">
        <v>42</v>
      </c>
      <c r="I349" s="8" t="s">
        <v>42</v>
      </c>
    </row>
    <row r="350">
      <c r="A350" s="1"/>
      <c r="B350" s="1"/>
      <c r="D350" s="15"/>
      <c r="H350" s="8" t="s">
        <v>42</v>
      </c>
      <c r="I350" s="8" t="s">
        <v>42</v>
      </c>
    </row>
    <row r="351">
      <c r="A351" s="1"/>
      <c r="B351" s="1"/>
      <c r="D351" s="15"/>
      <c r="H351" s="8" t="s">
        <v>42</v>
      </c>
      <c r="I351" s="8" t="s">
        <v>42</v>
      </c>
    </row>
    <row r="352">
      <c r="A352" s="1"/>
      <c r="B352" s="1"/>
      <c r="D352" s="15"/>
      <c r="H352" s="8" t="s">
        <v>42</v>
      </c>
      <c r="I352" s="8" t="s">
        <v>42</v>
      </c>
    </row>
    <row r="353">
      <c r="A353" s="1"/>
      <c r="B353" s="1"/>
      <c r="D353" s="15"/>
      <c r="H353" s="8" t="s">
        <v>42</v>
      </c>
      <c r="I353" s="8" t="s">
        <v>42</v>
      </c>
    </row>
    <row r="354">
      <c r="A354" s="1"/>
      <c r="B354" s="1"/>
      <c r="D354" s="15"/>
      <c r="H354" s="8" t="s">
        <v>42</v>
      </c>
      <c r="I354" s="8" t="s">
        <v>42</v>
      </c>
    </row>
    <row r="355">
      <c r="A355" s="1"/>
      <c r="B355" s="1"/>
      <c r="D355" s="15"/>
      <c r="H355" s="8" t="s">
        <v>42</v>
      </c>
      <c r="I355" s="8" t="s">
        <v>42</v>
      </c>
    </row>
    <row r="356">
      <c r="A356" s="1"/>
      <c r="B356" s="1"/>
      <c r="D356" s="15"/>
      <c r="H356" s="8" t="s">
        <v>42</v>
      </c>
      <c r="I356" s="8" t="s">
        <v>42</v>
      </c>
    </row>
    <row r="357">
      <c r="A357" s="1"/>
      <c r="B357" s="1"/>
      <c r="D357" s="15"/>
      <c r="H357" s="8" t="s">
        <v>42</v>
      </c>
      <c r="I357" s="8" t="s">
        <v>42</v>
      </c>
    </row>
    <row r="358">
      <c r="A358" s="1"/>
      <c r="B358" s="1"/>
      <c r="D358" s="15"/>
      <c r="H358" s="8" t="s">
        <v>42</v>
      </c>
      <c r="I358" s="8" t="s">
        <v>42</v>
      </c>
    </row>
    <row r="359">
      <c r="A359" s="1"/>
      <c r="B359" s="1"/>
      <c r="D359" s="15"/>
      <c r="H359" s="8" t="s">
        <v>42</v>
      </c>
      <c r="I359" s="8" t="s">
        <v>42</v>
      </c>
    </row>
    <row r="360">
      <c r="A360" s="1"/>
      <c r="B360" s="1"/>
      <c r="D360" s="15"/>
      <c r="H360" s="8" t="s">
        <v>42</v>
      </c>
      <c r="I360" s="8" t="s">
        <v>42</v>
      </c>
    </row>
    <row r="361">
      <c r="A361" s="1"/>
      <c r="B361" s="1"/>
      <c r="D361" s="15"/>
      <c r="H361" s="8" t="s">
        <v>42</v>
      </c>
      <c r="I361" s="8" t="s">
        <v>42</v>
      </c>
    </row>
    <row r="362">
      <c r="A362" s="1"/>
      <c r="B362" s="1"/>
      <c r="D362" s="15"/>
      <c r="H362" s="8" t="s">
        <v>42</v>
      </c>
      <c r="I362" s="8" t="s">
        <v>42</v>
      </c>
    </row>
    <row r="363">
      <c r="A363" s="1"/>
      <c r="B363" s="1"/>
      <c r="D363" s="15"/>
      <c r="H363" s="8" t="s">
        <v>42</v>
      </c>
      <c r="I363" s="8" t="s">
        <v>42</v>
      </c>
    </row>
    <row r="364">
      <c r="A364" s="1"/>
      <c r="B364" s="1"/>
      <c r="D364" s="15"/>
      <c r="H364" s="8" t="s">
        <v>42</v>
      </c>
      <c r="I364" s="8" t="s">
        <v>42</v>
      </c>
    </row>
    <row r="365">
      <c r="A365" s="1"/>
      <c r="B365" s="1"/>
      <c r="D365" s="15"/>
      <c r="H365" s="8" t="s">
        <v>42</v>
      </c>
      <c r="I365" s="8" t="s">
        <v>42</v>
      </c>
    </row>
    <row r="366">
      <c r="A366" s="1"/>
      <c r="B366" s="1"/>
      <c r="D366" s="15"/>
      <c r="H366" s="8" t="s">
        <v>42</v>
      </c>
      <c r="I366" s="8" t="s">
        <v>42</v>
      </c>
    </row>
    <row r="367">
      <c r="A367" s="1"/>
      <c r="B367" s="1"/>
      <c r="D367" s="15"/>
      <c r="H367" s="8" t="s">
        <v>42</v>
      </c>
      <c r="I367" s="8" t="s">
        <v>42</v>
      </c>
    </row>
    <row r="368">
      <c r="A368" s="1"/>
      <c r="B368" s="1"/>
      <c r="D368" s="15"/>
      <c r="H368" s="8" t="s">
        <v>42</v>
      </c>
      <c r="I368" s="8" t="s">
        <v>42</v>
      </c>
    </row>
    <row r="369">
      <c r="A369" s="1"/>
      <c r="B369" s="1"/>
      <c r="D369" s="15"/>
      <c r="H369" s="8" t="s">
        <v>42</v>
      </c>
      <c r="I369" s="8" t="s">
        <v>42</v>
      </c>
    </row>
    <row r="370">
      <c r="A370" s="1"/>
      <c r="B370" s="1"/>
      <c r="D370" s="15"/>
      <c r="H370" s="8" t="s">
        <v>42</v>
      </c>
      <c r="I370" s="8" t="s">
        <v>42</v>
      </c>
    </row>
    <row r="371">
      <c r="A371" s="1"/>
      <c r="B371" s="1"/>
      <c r="D371" s="15"/>
      <c r="H371" s="8" t="s">
        <v>42</v>
      </c>
      <c r="I371" s="8" t="s">
        <v>42</v>
      </c>
    </row>
    <row r="372">
      <c r="A372" s="1"/>
      <c r="B372" s="1"/>
      <c r="D372" s="15"/>
      <c r="H372" s="8" t="s">
        <v>42</v>
      </c>
      <c r="I372" s="8" t="s">
        <v>42</v>
      </c>
    </row>
    <row r="373">
      <c r="A373" s="1"/>
      <c r="B373" s="1"/>
      <c r="D373" s="15"/>
      <c r="H373" s="8" t="s">
        <v>42</v>
      </c>
      <c r="I373" s="8" t="s">
        <v>42</v>
      </c>
    </row>
    <row r="374">
      <c r="A374" s="1"/>
      <c r="B374" s="1"/>
      <c r="D374" s="15"/>
      <c r="H374" s="8" t="s">
        <v>42</v>
      </c>
      <c r="I374" s="8" t="s">
        <v>42</v>
      </c>
    </row>
    <row r="375">
      <c r="A375" s="1"/>
      <c r="B375" s="1"/>
      <c r="D375" s="15"/>
      <c r="H375" s="8" t="s">
        <v>42</v>
      </c>
      <c r="I375" s="8" t="s">
        <v>42</v>
      </c>
    </row>
    <row r="376">
      <c r="A376" s="1"/>
      <c r="B376" s="1"/>
      <c r="D376" s="15"/>
      <c r="H376" s="8" t="s">
        <v>42</v>
      </c>
      <c r="I376" s="8" t="s">
        <v>42</v>
      </c>
    </row>
    <row r="377">
      <c r="A377" s="1"/>
      <c r="B377" s="1"/>
      <c r="D377" s="15"/>
      <c r="H377" s="8" t="s">
        <v>42</v>
      </c>
      <c r="I377" s="8" t="s">
        <v>42</v>
      </c>
    </row>
    <row r="378">
      <c r="A378" s="1"/>
      <c r="B378" s="1"/>
      <c r="D378" s="15"/>
      <c r="H378" s="8" t="s">
        <v>42</v>
      </c>
      <c r="I378" s="8" t="s">
        <v>42</v>
      </c>
    </row>
    <row r="379">
      <c r="A379" s="1"/>
      <c r="B379" s="1"/>
      <c r="D379" s="15"/>
      <c r="H379" s="8" t="s">
        <v>42</v>
      </c>
      <c r="I379" s="8" t="s">
        <v>42</v>
      </c>
    </row>
    <row r="380">
      <c r="A380" s="1"/>
      <c r="B380" s="1"/>
      <c r="D380" s="15"/>
      <c r="H380" s="8" t="s">
        <v>42</v>
      </c>
      <c r="I380" s="8" t="s">
        <v>42</v>
      </c>
    </row>
    <row r="381">
      <c r="A381" s="1"/>
      <c r="B381" s="1"/>
      <c r="D381" s="15"/>
      <c r="H381" s="8" t="s">
        <v>42</v>
      </c>
      <c r="I381" s="8" t="s">
        <v>42</v>
      </c>
    </row>
    <row r="382">
      <c r="A382" s="1"/>
      <c r="B382" s="1"/>
      <c r="D382" s="15"/>
      <c r="H382" s="8" t="s">
        <v>42</v>
      </c>
      <c r="I382" s="8" t="s">
        <v>42</v>
      </c>
    </row>
    <row r="383">
      <c r="A383" s="1"/>
      <c r="B383" s="1"/>
      <c r="D383" s="15"/>
      <c r="H383" s="8" t="s">
        <v>42</v>
      </c>
      <c r="I383" s="8" t="s">
        <v>42</v>
      </c>
    </row>
    <row r="384">
      <c r="A384" s="1"/>
      <c r="B384" s="1"/>
      <c r="D384" s="15"/>
      <c r="H384" s="8" t="s">
        <v>42</v>
      </c>
      <c r="I384" s="8" t="s">
        <v>42</v>
      </c>
    </row>
    <row r="385">
      <c r="A385" s="1"/>
      <c r="B385" s="1"/>
      <c r="D385" s="15"/>
      <c r="H385" s="8" t="s">
        <v>42</v>
      </c>
      <c r="I385" s="8" t="s">
        <v>42</v>
      </c>
    </row>
    <row r="386">
      <c r="A386" s="1"/>
      <c r="B386" s="1"/>
      <c r="D386" s="15"/>
      <c r="H386" s="8" t="s">
        <v>42</v>
      </c>
      <c r="I386" s="8" t="s">
        <v>42</v>
      </c>
    </row>
    <row r="387">
      <c r="A387" s="1"/>
      <c r="B387" s="1"/>
      <c r="D387" s="15"/>
      <c r="H387" s="8" t="s">
        <v>42</v>
      </c>
      <c r="I387" s="8" t="s">
        <v>42</v>
      </c>
    </row>
    <row r="388">
      <c r="A388" s="1"/>
      <c r="B388" s="1"/>
      <c r="D388" s="15"/>
      <c r="H388" s="8" t="s">
        <v>42</v>
      </c>
      <c r="I388" s="8" t="s">
        <v>42</v>
      </c>
    </row>
    <row r="389">
      <c r="A389" s="1"/>
      <c r="B389" s="1"/>
      <c r="D389" s="15"/>
      <c r="H389" s="8" t="s">
        <v>42</v>
      </c>
      <c r="I389" s="8" t="s">
        <v>42</v>
      </c>
    </row>
    <row r="390">
      <c r="A390" s="1"/>
      <c r="B390" s="1"/>
      <c r="D390" s="15"/>
      <c r="H390" s="8" t="s">
        <v>42</v>
      </c>
      <c r="I390" s="8" t="s">
        <v>42</v>
      </c>
    </row>
    <row r="391">
      <c r="A391" s="1"/>
      <c r="B391" s="1"/>
      <c r="D391" s="15"/>
      <c r="H391" s="8" t="s">
        <v>42</v>
      </c>
      <c r="I391" s="8" t="s">
        <v>42</v>
      </c>
    </row>
    <row r="392">
      <c r="A392" s="1"/>
      <c r="B392" s="1"/>
      <c r="D392" s="15"/>
      <c r="H392" s="8" t="s">
        <v>42</v>
      </c>
      <c r="I392" s="8" t="s">
        <v>42</v>
      </c>
    </row>
    <row r="393">
      <c r="A393" s="1"/>
      <c r="B393" s="1"/>
      <c r="D393" s="15"/>
      <c r="H393" s="8" t="s">
        <v>42</v>
      </c>
      <c r="I393" s="8" t="s">
        <v>42</v>
      </c>
    </row>
    <row r="394">
      <c r="A394" s="1"/>
      <c r="B394" s="1"/>
      <c r="D394" s="15"/>
      <c r="H394" s="8" t="s">
        <v>42</v>
      </c>
      <c r="I394" s="8" t="s">
        <v>42</v>
      </c>
    </row>
    <row r="395">
      <c r="A395" s="1"/>
      <c r="B395" s="1"/>
      <c r="D395" s="15"/>
      <c r="H395" s="8" t="s">
        <v>42</v>
      </c>
      <c r="I395" s="8" t="s">
        <v>42</v>
      </c>
    </row>
    <row r="396">
      <c r="A396" s="1"/>
      <c r="B396" s="1"/>
      <c r="D396" s="15"/>
      <c r="H396" s="8" t="s">
        <v>42</v>
      </c>
      <c r="I396" s="8" t="s">
        <v>42</v>
      </c>
    </row>
    <row r="397">
      <c r="A397" s="1"/>
      <c r="B397" s="1"/>
      <c r="D397" s="15"/>
      <c r="H397" s="8" t="s">
        <v>42</v>
      </c>
      <c r="I397" s="8" t="s">
        <v>42</v>
      </c>
    </row>
    <row r="398">
      <c r="A398" s="1"/>
      <c r="B398" s="1"/>
      <c r="D398" s="15"/>
      <c r="H398" s="8" t="s">
        <v>42</v>
      </c>
      <c r="I398" s="8" t="s">
        <v>42</v>
      </c>
    </row>
    <row r="399">
      <c r="A399" s="1"/>
      <c r="B399" s="1"/>
      <c r="D399" s="15"/>
      <c r="H399" s="8" t="s">
        <v>42</v>
      </c>
      <c r="I399" s="8" t="s">
        <v>42</v>
      </c>
    </row>
    <row r="400">
      <c r="A400" s="1"/>
      <c r="B400" s="1"/>
      <c r="D400" s="15"/>
      <c r="H400" s="8" t="s">
        <v>42</v>
      </c>
      <c r="I400" s="8" t="s">
        <v>42</v>
      </c>
    </row>
    <row r="401">
      <c r="A401" s="1"/>
      <c r="B401" s="1"/>
      <c r="D401" s="15"/>
      <c r="H401" s="8" t="s">
        <v>42</v>
      </c>
      <c r="I401" s="8" t="s">
        <v>42</v>
      </c>
    </row>
    <row r="402">
      <c r="A402" s="1"/>
      <c r="B402" s="1"/>
      <c r="D402" s="15"/>
      <c r="H402" s="8" t="s">
        <v>42</v>
      </c>
      <c r="I402" s="8" t="s">
        <v>42</v>
      </c>
    </row>
    <row r="403">
      <c r="A403" s="1"/>
      <c r="B403" s="1"/>
      <c r="D403" s="15"/>
      <c r="H403" s="8" t="s">
        <v>42</v>
      </c>
      <c r="I403" s="8" t="s">
        <v>42</v>
      </c>
    </row>
    <row r="404">
      <c r="A404" s="1"/>
      <c r="B404" s="1"/>
      <c r="D404" s="15"/>
      <c r="H404" s="8" t="s">
        <v>42</v>
      </c>
      <c r="I404" s="8" t="s">
        <v>42</v>
      </c>
    </row>
    <row r="405">
      <c r="A405" s="1"/>
      <c r="B405" s="1"/>
      <c r="D405" s="15"/>
      <c r="H405" s="8" t="s">
        <v>42</v>
      </c>
      <c r="I405" s="8" t="s">
        <v>42</v>
      </c>
    </row>
    <row r="406">
      <c r="A406" s="1"/>
      <c r="B406" s="1"/>
      <c r="D406" s="15"/>
      <c r="H406" s="8" t="s">
        <v>42</v>
      </c>
      <c r="I406" s="8" t="s">
        <v>42</v>
      </c>
    </row>
    <row r="407">
      <c r="A407" s="1"/>
      <c r="B407" s="1"/>
      <c r="D407" s="15"/>
      <c r="H407" s="8" t="s">
        <v>42</v>
      </c>
      <c r="I407" s="8" t="s">
        <v>42</v>
      </c>
    </row>
    <row r="408">
      <c r="A408" s="1"/>
      <c r="B408" s="1"/>
      <c r="D408" s="15"/>
      <c r="H408" s="8" t="s">
        <v>42</v>
      </c>
      <c r="I408" s="8" t="s">
        <v>42</v>
      </c>
    </row>
    <row r="409">
      <c r="A409" s="1"/>
      <c r="B409" s="1"/>
      <c r="D409" s="15"/>
      <c r="H409" s="8" t="s">
        <v>42</v>
      </c>
      <c r="I409" s="8" t="s">
        <v>42</v>
      </c>
    </row>
    <row r="410">
      <c r="A410" s="1"/>
      <c r="B410" s="1"/>
      <c r="D410" s="15"/>
      <c r="H410" s="8" t="s">
        <v>42</v>
      </c>
      <c r="I410" s="8" t="s">
        <v>42</v>
      </c>
    </row>
    <row r="411">
      <c r="A411" s="1"/>
      <c r="B411" s="1"/>
      <c r="D411" s="15"/>
      <c r="H411" s="8" t="s">
        <v>42</v>
      </c>
      <c r="I411" s="8" t="s">
        <v>42</v>
      </c>
    </row>
    <row r="412">
      <c r="A412" s="1"/>
      <c r="B412" s="1"/>
      <c r="D412" s="15"/>
      <c r="H412" s="8" t="s">
        <v>42</v>
      </c>
      <c r="I412" s="8" t="s">
        <v>42</v>
      </c>
    </row>
    <row r="413">
      <c r="A413" s="1"/>
      <c r="B413" s="1"/>
      <c r="D413" s="15"/>
      <c r="H413" s="8" t="s">
        <v>42</v>
      </c>
      <c r="I413" s="8" t="s">
        <v>42</v>
      </c>
    </row>
    <row r="414">
      <c r="A414" s="1"/>
      <c r="B414" s="1"/>
      <c r="D414" s="15"/>
      <c r="H414" s="8" t="s">
        <v>42</v>
      </c>
      <c r="I414" s="8" t="s">
        <v>42</v>
      </c>
    </row>
    <row r="415">
      <c r="A415" s="1"/>
      <c r="B415" s="1"/>
      <c r="D415" s="15"/>
      <c r="H415" s="8" t="s">
        <v>42</v>
      </c>
      <c r="I415" s="8" t="s">
        <v>42</v>
      </c>
    </row>
    <row r="416">
      <c r="A416" s="1"/>
      <c r="B416" s="1"/>
      <c r="D416" s="15"/>
      <c r="H416" s="8" t="s">
        <v>42</v>
      </c>
      <c r="I416" s="8" t="s">
        <v>42</v>
      </c>
    </row>
    <row r="417">
      <c r="A417" s="1"/>
      <c r="B417" s="1"/>
      <c r="D417" s="15"/>
      <c r="H417" s="8" t="s">
        <v>42</v>
      </c>
      <c r="I417" s="8" t="s">
        <v>42</v>
      </c>
    </row>
    <row r="418">
      <c r="A418" s="1"/>
      <c r="B418" s="1"/>
      <c r="D418" s="15"/>
      <c r="H418" s="8" t="s">
        <v>42</v>
      </c>
      <c r="I418" s="8" t="s">
        <v>42</v>
      </c>
    </row>
    <row r="419">
      <c r="A419" s="1"/>
      <c r="B419" s="1"/>
      <c r="D419" s="15"/>
      <c r="H419" s="8" t="s">
        <v>42</v>
      </c>
      <c r="I419" s="8" t="s">
        <v>42</v>
      </c>
    </row>
    <row r="420">
      <c r="A420" s="1"/>
      <c r="B420" s="1"/>
      <c r="D420" s="15"/>
      <c r="H420" s="8" t="s">
        <v>42</v>
      </c>
      <c r="I420" s="8" t="s">
        <v>42</v>
      </c>
    </row>
    <row r="421">
      <c r="A421" s="1"/>
      <c r="B421" s="1"/>
      <c r="D421" s="15"/>
      <c r="H421" s="8" t="s">
        <v>42</v>
      </c>
      <c r="I421" s="8" t="s">
        <v>42</v>
      </c>
    </row>
    <row r="422">
      <c r="A422" s="1"/>
      <c r="B422" s="1"/>
      <c r="D422" s="15"/>
      <c r="H422" s="8" t="s">
        <v>42</v>
      </c>
      <c r="I422" s="8" t="s">
        <v>42</v>
      </c>
    </row>
    <row r="423">
      <c r="A423" s="1"/>
      <c r="B423" s="1"/>
      <c r="D423" s="15"/>
      <c r="H423" s="8" t="s">
        <v>42</v>
      </c>
      <c r="I423" s="8" t="s">
        <v>42</v>
      </c>
    </row>
    <row r="424">
      <c r="A424" s="1"/>
      <c r="B424" s="1"/>
      <c r="D424" s="15"/>
      <c r="H424" s="8" t="s">
        <v>42</v>
      </c>
      <c r="I424" s="8" t="s">
        <v>42</v>
      </c>
    </row>
    <row r="425">
      <c r="A425" s="1"/>
      <c r="B425" s="1"/>
      <c r="D425" s="15"/>
      <c r="H425" s="8" t="s">
        <v>42</v>
      </c>
      <c r="I425" s="8" t="s">
        <v>42</v>
      </c>
    </row>
    <row r="426">
      <c r="A426" s="1"/>
      <c r="B426" s="1"/>
      <c r="D426" s="15"/>
      <c r="H426" s="8" t="s">
        <v>42</v>
      </c>
      <c r="I426" s="8" t="s">
        <v>42</v>
      </c>
    </row>
    <row r="427">
      <c r="A427" s="1"/>
      <c r="B427" s="1"/>
      <c r="D427" s="15"/>
      <c r="H427" s="8" t="s">
        <v>42</v>
      </c>
      <c r="I427" s="8" t="s">
        <v>42</v>
      </c>
    </row>
    <row r="428">
      <c r="A428" s="1"/>
      <c r="B428" s="1"/>
      <c r="D428" s="15"/>
      <c r="H428" s="8" t="s">
        <v>42</v>
      </c>
      <c r="I428" s="8" t="s">
        <v>42</v>
      </c>
    </row>
    <row r="429">
      <c r="A429" s="1"/>
      <c r="B429" s="1"/>
      <c r="D429" s="15"/>
      <c r="H429" s="8" t="s">
        <v>42</v>
      </c>
      <c r="I429" s="8" t="s">
        <v>42</v>
      </c>
    </row>
    <row r="430">
      <c r="A430" s="1"/>
      <c r="B430" s="1"/>
      <c r="D430" s="15"/>
      <c r="H430" s="8" t="s">
        <v>42</v>
      </c>
      <c r="I430" s="8" t="s">
        <v>42</v>
      </c>
    </row>
    <row r="431">
      <c r="A431" s="1"/>
      <c r="B431" s="1"/>
      <c r="D431" s="15"/>
      <c r="H431" s="8" t="s">
        <v>42</v>
      </c>
      <c r="I431" s="8" t="s">
        <v>42</v>
      </c>
    </row>
    <row r="432">
      <c r="A432" s="1"/>
      <c r="B432" s="1"/>
      <c r="D432" s="15"/>
      <c r="H432" s="8" t="s">
        <v>42</v>
      </c>
      <c r="I432" s="8" t="s">
        <v>42</v>
      </c>
    </row>
    <row r="433">
      <c r="A433" s="1"/>
      <c r="B433" s="1"/>
      <c r="D433" s="15"/>
      <c r="H433" s="8" t="s">
        <v>42</v>
      </c>
      <c r="I433" s="8" t="s">
        <v>42</v>
      </c>
    </row>
    <row r="434">
      <c r="A434" s="1"/>
      <c r="B434" s="1"/>
      <c r="D434" s="15"/>
      <c r="H434" s="8" t="s">
        <v>42</v>
      </c>
      <c r="I434" s="8" t="s">
        <v>42</v>
      </c>
    </row>
    <row r="435">
      <c r="A435" s="1"/>
      <c r="B435" s="1"/>
      <c r="D435" s="15"/>
      <c r="H435" s="8" t="s">
        <v>42</v>
      </c>
      <c r="I435" s="8" t="s">
        <v>42</v>
      </c>
    </row>
    <row r="436">
      <c r="A436" s="1"/>
      <c r="B436" s="1"/>
      <c r="D436" s="15"/>
      <c r="H436" s="8" t="s">
        <v>42</v>
      </c>
      <c r="I436" s="8" t="s">
        <v>42</v>
      </c>
    </row>
    <row r="437">
      <c r="A437" s="1"/>
      <c r="B437" s="1"/>
      <c r="D437" s="15"/>
      <c r="H437" s="8" t="s">
        <v>42</v>
      </c>
      <c r="I437" s="8" t="s">
        <v>42</v>
      </c>
    </row>
    <row r="438">
      <c r="A438" s="1"/>
      <c r="B438" s="1"/>
      <c r="D438" s="15"/>
      <c r="H438" s="8" t="s">
        <v>42</v>
      </c>
      <c r="I438" s="8" t="s">
        <v>42</v>
      </c>
    </row>
    <row r="439">
      <c r="A439" s="1"/>
      <c r="B439" s="1"/>
      <c r="D439" s="15"/>
      <c r="H439" s="8" t="s">
        <v>42</v>
      </c>
      <c r="I439" s="8" t="s">
        <v>42</v>
      </c>
    </row>
    <row r="440">
      <c r="A440" s="1"/>
      <c r="B440" s="1"/>
      <c r="D440" s="15"/>
      <c r="H440" s="8" t="s">
        <v>42</v>
      </c>
      <c r="I440" s="8" t="s">
        <v>42</v>
      </c>
    </row>
    <row r="441">
      <c r="A441" s="1"/>
      <c r="B441" s="1"/>
      <c r="D441" s="15"/>
      <c r="H441" s="8" t="s">
        <v>42</v>
      </c>
      <c r="I441" s="8" t="s">
        <v>42</v>
      </c>
    </row>
    <row r="442">
      <c r="A442" s="1"/>
      <c r="B442" s="1"/>
      <c r="D442" s="15"/>
      <c r="H442" s="8" t="s">
        <v>42</v>
      </c>
      <c r="I442" s="8" t="s">
        <v>42</v>
      </c>
    </row>
    <row r="443">
      <c r="A443" s="1"/>
      <c r="B443" s="1"/>
      <c r="D443" s="15"/>
      <c r="H443" s="8" t="s">
        <v>42</v>
      </c>
      <c r="I443" s="8" t="s">
        <v>42</v>
      </c>
    </row>
    <row r="444">
      <c r="A444" s="1"/>
      <c r="B444" s="1"/>
      <c r="D444" s="15"/>
      <c r="H444" s="8" t="s">
        <v>42</v>
      </c>
      <c r="I444" s="8" t="s">
        <v>42</v>
      </c>
    </row>
    <row r="445">
      <c r="A445" s="1"/>
      <c r="B445" s="1"/>
      <c r="D445" s="15"/>
      <c r="H445" s="8" t="s">
        <v>42</v>
      </c>
      <c r="I445" s="8" t="s">
        <v>42</v>
      </c>
    </row>
    <row r="446">
      <c r="A446" s="1"/>
      <c r="B446" s="1"/>
      <c r="D446" s="15"/>
      <c r="H446" s="8" t="s">
        <v>42</v>
      </c>
      <c r="I446" s="8" t="s">
        <v>42</v>
      </c>
    </row>
    <row r="447">
      <c r="A447" s="1"/>
      <c r="B447" s="1"/>
      <c r="D447" s="15"/>
      <c r="H447" s="8" t="s">
        <v>42</v>
      </c>
      <c r="I447" s="8" t="s">
        <v>42</v>
      </c>
    </row>
    <row r="448">
      <c r="A448" s="1"/>
      <c r="B448" s="1"/>
      <c r="D448" s="15"/>
      <c r="H448" s="8" t="s">
        <v>42</v>
      </c>
      <c r="I448" s="8" t="s">
        <v>42</v>
      </c>
    </row>
    <row r="449">
      <c r="A449" s="1"/>
      <c r="B449" s="1"/>
      <c r="D449" s="15"/>
      <c r="H449" s="8" t="s">
        <v>42</v>
      </c>
      <c r="I449" s="8" t="s">
        <v>42</v>
      </c>
    </row>
    <row r="450">
      <c r="A450" s="1"/>
      <c r="B450" s="1"/>
      <c r="D450" s="15"/>
      <c r="H450" s="8" t="s">
        <v>42</v>
      </c>
      <c r="I450" s="8" t="s">
        <v>42</v>
      </c>
    </row>
    <row r="451">
      <c r="A451" s="1"/>
      <c r="B451" s="1"/>
      <c r="D451" s="15"/>
      <c r="H451" s="8" t="s">
        <v>42</v>
      </c>
      <c r="I451" s="8" t="s">
        <v>42</v>
      </c>
    </row>
    <row r="452">
      <c r="A452" s="1"/>
      <c r="B452" s="1"/>
      <c r="D452" s="15"/>
      <c r="H452" s="8" t="s">
        <v>42</v>
      </c>
      <c r="I452" s="8" t="s">
        <v>42</v>
      </c>
    </row>
    <row r="453">
      <c r="A453" s="1"/>
      <c r="B453" s="1"/>
      <c r="D453" s="15"/>
      <c r="H453" s="8" t="s">
        <v>42</v>
      </c>
      <c r="I453" s="8" t="s">
        <v>42</v>
      </c>
    </row>
    <row r="454">
      <c r="A454" s="1"/>
      <c r="B454" s="1"/>
      <c r="D454" s="15"/>
      <c r="H454" s="8" t="s">
        <v>42</v>
      </c>
      <c r="I454" s="8" t="s">
        <v>42</v>
      </c>
    </row>
    <row r="455">
      <c r="A455" s="1"/>
      <c r="B455" s="1"/>
      <c r="D455" s="15"/>
      <c r="H455" s="8" t="s">
        <v>42</v>
      </c>
      <c r="I455" s="8" t="s">
        <v>42</v>
      </c>
    </row>
    <row r="456">
      <c r="A456" s="1"/>
      <c r="B456" s="1"/>
      <c r="D456" s="15"/>
      <c r="H456" s="8" t="s">
        <v>42</v>
      </c>
      <c r="I456" s="8" t="s">
        <v>42</v>
      </c>
    </row>
    <row r="457">
      <c r="A457" s="1"/>
      <c r="B457" s="1"/>
      <c r="D457" s="15"/>
      <c r="H457" s="8" t="s">
        <v>42</v>
      </c>
      <c r="I457" s="8" t="s">
        <v>42</v>
      </c>
    </row>
    <row r="458">
      <c r="A458" s="1"/>
      <c r="B458" s="1"/>
      <c r="D458" s="15"/>
      <c r="H458" s="8" t="s">
        <v>42</v>
      </c>
      <c r="I458" s="8" t="s">
        <v>42</v>
      </c>
    </row>
    <row r="459">
      <c r="A459" s="1"/>
      <c r="B459" s="1"/>
      <c r="D459" s="15"/>
      <c r="H459" s="8" t="s">
        <v>42</v>
      </c>
      <c r="I459" s="8" t="s">
        <v>42</v>
      </c>
    </row>
    <row r="460">
      <c r="A460" s="1"/>
      <c r="B460" s="1"/>
      <c r="D460" s="15"/>
      <c r="H460" s="8" t="s">
        <v>42</v>
      </c>
      <c r="I460" s="8" t="s">
        <v>42</v>
      </c>
    </row>
    <row r="461">
      <c r="A461" s="1"/>
      <c r="B461" s="1"/>
      <c r="D461" s="15"/>
      <c r="H461" s="8" t="s">
        <v>42</v>
      </c>
      <c r="I461" s="8" t="s">
        <v>42</v>
      </c>
    </row>
    <row r="462">
      <c r="A462" s="1"/>
      <c r="B462" s="1"/>
      <c r="D462" s="15"/>
      <c r="H462" s="8" t="s">
        <v>42</v>
      </c>
      <c r="I462" s="8" t="s">
        <v>42</v>
      </c>
    </row>
    <row r="463">
      <c r="A463" s="1"/>
      <c r="B463" s="1"/>
      <c r="D463" s="15"/>
      <c r="H463" s="8" t="s">
        <v>42</v>
      </c>
      <c r="I463" s="8" t="s">
        <v>42</v>
      </c>
    </row>
    <row r="464">
      <c r="A464" s="1"/>
      <c r="B464" s="1"/>
      <c r="D464" s="15"/>
      <c r="H464" s="8" t="s">
        <v>42</v>
      </c>
      <c r="I464" s="8" t="s">
        <v>42</v>
      </c>
    </row>
    <row r="465">
      <c r="A465" s="1"/>
      <c r="B465" s="1"/>
      <c r="D465" s="15"/>
      <c r="H465" s="8" t="s">
        <v>42</v>
      </c>
      <c r="I465" s="8" t="s">
        <v>42</v>
      </c>
    </row>
    <row r="466">
      <c r="A466" s="1"/>
      <c r="B466" s="1"/>
      <c r="D466" s="15"/>
      <c r="H466" s="8" t="s">
        <v>42</v>
      </c>
      <c r="I466" s="8" t="s">
        <v>42</v>
      </c>
    </row>
    <row r="467">
      <c r="A467" s="1"/>
      <c r="B467" s="1"/>
      <c r="D467" s="15"/>
      <c r="H467" s="8" t="s">
        <v>42</v>
      </c>
      <c r="I467" s="8" t="s">
        <v>42</v>
      </c>
    </row>
    <row r="468">
      <c r="A468" s="1"/>
      <c r="B468" s="1"/>
      <c r="D468" s="15"/>
      <c r="H468" s="8" t="s">
        <v>42</v>
      </c>
      <c r="I468" s="8" t="s">
        <v>42</v>
      </c>
    </row>
    <row r="469">
      <c r="A469" s="1"/>
      <c r="B469" s="1"/>
      <c r="D469" s="15"/>
      <c r="H469" s="8" t="s">
        <v>42</v>
      </c>
      <c r="I469" s="8" t="s">
        <v>42</v>
      </c>
    </row>
    <row r="470">
      <c r="A470" s="1"/>
      <c r="B470" s="1"/>
      <c r="D470" s="15"/>
      <c r="H470" s="8" t="s">
        <v>42</v>
      </c>
      <c r="I470" s="8" t="s">
        <v>42</v>
      </c>
    </row>
    <row r="471">
      <c r="A471" s="1"/>
      <c r="B471" s="1"/>
      <c r="D471" s="15"/>
      <c r="H471" s="8" t="s">
        <v>42</v>
      </c>
      <c r="I471" s="8" t="s">
        <v>42</v>
      </c>
    </row>
    <row r="472">
      <c r="A472" s="1"/>
      <c r="B472" s="1"/>
      <c r="D472" s="15"/>
      <c r="H472" s="8" t="s">
        <v>42</v>
      </c>
      <c r="I472" s="8" t="s">
        <v>42</v>
      </c>
    </row>
    <row r="473">
      <c r="A473" s="1"/>
      <c r="B473" s="1"/>
      <c r="D473" s="15"/>
      <c r="H473" s="8" t="s">
        <v>42</v>
      </c>
      <c r="I473" s="8" t="s">
        <v>42</v>
      </c>
    </row>
    <row r="474">
      <c r="A474" s="1"/>
      <c r="B474" s="1"/>
      <c r="D474" s="15"/>
      <c r="H474" s="8" t="s">
        <v>42</v>
      </c>
      <c r="I474" s="8" t="s">
        <v>42</v>
      </c>
    </row>
    <row r="475">
      <c r="A475" s="1"/>
      <c r="B475" s="1"/>
      <c r="D475" s="15"/>
      <c r="H475" s="8" t="s">
        <v>42</v>
      </c>
      <c r="I475" s="8" t="s">
        <v>42</v>
      </c>
    </row>
    <row r="476">
      <c r="A476" s="1"/>
      <c r="B476" s="1"/>
      <c r="D476" s="15"/>
      <c r="H476" s="8" t="s">
        <v>42</v>
      </c>
      <c r="I476" s="8" t="s">
        <v>42</v>
      </c>
    </row>
    <row r="477">
      <c r="A477" s="1"/>
      <c r="B477" s="1"/>
      <c r="D477" s="15"/>
      <c r="H477" s="8" t="s">
        <v>42</v>
      </c>
      <c r="I477" s="8" t="s">
        <v>42</v>
      </c>
    </row>
    <row r="478">
      <c r="A478" s="1"/>
      <c r="B478" s="1"/>
      <c r="D478" s="15"/>
      <c r="H478" s="8" t="s">
        <v>42</v>
      </c>
      <c r="I478" s="8" t="s">
        <v>42</v>
      </c>
    </row>
    <row r="479">
      <c r="A479" s="1"/>
      <c r="B479" s="1"/>
      <c r="D479" s="15"/>
      <c r="H479" s="8" t="s">
        <v>42</v>
      </c>
      <c r="I479" s="8" t="s">
        <v>42</v>
      </c>
    </row>
    <row r="480">
      <c r="A480" s="1"/>
      <c r="B480" s="1"/>
      <c r="D480" s="15"/>
      <c r="H480" s="8" t="s">
        <v>42</v>
      </c>
      <c r="I480" s="8" t="s">
        <v>42</v>
      </c>
    </row>
    <row r="481">
      <c r="A481" s="1"/>
      <c r="B481" s="1"/>
      <c r="D481" s="15"/>
      <c r="H481" s="8" t="s">
        <v>42</v>
      </c>
      <c r="I481" s="8" t="s">
        <v>42</v>
      </c>
    </row>
    <row r="482">
      <c r="A482" s="1"/>
      <c r="B482" s="1"/>
      <c r="D482" s="15"/>
      <c r="H482" s="8" t="s">
        <v>42</v>
      </c>
      <c r="I482" s="8" t="s">
        <v>42</v>
      </c>
    </row>
    <row r="483">
      <c r="A483" s="1"/>
      <c r="B483" s="1"/>
      <c r="D483" s="15"/>
      <c r="H483" s="8" t="s">
        <v>42</v>
      </c>
      <c r="I483" s="8" t="s">
        <v>42</v>
      </c>
    </row>
    <row r="484">
      <c r="A484" s="1"/>
      <c r="B484" s="1"/>
      <c r="D484" s="15"/>
      <c r="H484" s="8" t="s">
        <v>42</v>
      </c>
      <c r="I484" s="8" t="s">
        <v>42</v>
      </c>
    </row>
    <row r="485">
      <c r="A485" s="1"/>
      <c r="B485" s="1"/>
      <c r="D485" s="15"/>
      <c r="H485" s="8" t="s">
        <v>42</v>
      </c>
      <c r="I485" s="8" t="s">
        <v>42</v>
      </c>
    </row>
    <row r="486">
      <c r="A486" s="1"/>
      <c r="B486" s="1"/>
      <c r="D486" s="15"/>
      <c r="H486" s="8" t="s">
        <v>42</v>
      </c>
      <c r="I486" s="8" t="s">
        <v>42</v>
      </c>
    </row>
    <row r="487">
      <c r="A487" s="1"/>
      <c r="B487" s="1"/>
      <c r="D487" s="15"/>
      <c r="H487" s="8" t="s">
        <v>42</v>
      </c>
      <c r="I487" s="8" t="s">
        <v>42</v>
      </c>
    </row>
    <row r="488">
      <c r="A488" s="1"/>
      <c r="B488" s="1"/>
      <c r="D488" s="15"/>
      <c r="H488" s="8" t="s">
        <v>42</v>
      </c>
      <c r="I488" s="8" t="s">
        <v>42</v>
      </c>
    </row>
    <row r="489">
      <c r="A489" s="1"/>
      <c r="B489" s="1"/>
      <c r="D489" s="15"/>
      <c r="H489" s="8" t="s">
        <v>42</v>
      </c>
      <c r="I489" s="8" t="s">
        <v>42</v>
      </c>
    </row>
    <row r="490">
      <c r="A490" s="1"/>
      <c r="B490" s="1"/>
      <c r="D490" s="15"/>
      <c r="H490" s="8" t="s">
        <v>42</v>
      </c>
      <c r="I490" s="8" t="s">
        <v>42</v>
      </c>
    </row>
    <row r="491">
      <c r="A491" s="1"/>
      <c r="B491" s="1"/>
      <c r="D491" s="15"/>
      <c r="H491" s="8" t="s">
        <v>42</v>
      </c>
      <c r="I491" s="8" t="s">
        <v>42</v>
      </c>
    </row>
    <row r="492">
      <c r="A492" s="1"/>
      <c r="B492" s="1"/>
      <c r="D492" s="15"/>
      <c r="H492" s="8" t="s">
        <v>42</v>
      </c>
      <c r="I492" s="8" t="s">
        <v>42</v>
      </c>
    </row>
    <row r="493">
      <c r="A493" s="1"/>
      <c r="B493" s="1"/>
      <c r="D493" s="15"/>
      <c r="H493" s="8" t="s">
        <v>42</v>
      </c>
      <c r="I493" s="8" t="s">
        <v>42</v>
      </c>
    </row>
    <row r="494">
      <c r="A494" s="1"/>
      <c r="B494" s="1"/>
      <c r="D494" s="15"/>
      <c r="H494" s="8" t="s">
        <v>42</v>
      </c>
      <c r="I494" s="8" t="s">
        <v>42</v>
      </c>
    </row>
    <row r="495">
      <c r="A495" s="1"/>
      <c r="B495" s="1"/>
      <c r="D495" s="15"/>
      <c r="H495" s="8" t="s">
        <v>42</v>
      </c>
      <c r="I495" s="8" t="s">
        <v>42</v>
      </c>
    </row>
    <row r="496">
      <c r="A496" s="1"/>
      <c r="B496" s="1"/>
      <c r="D496" s="15"/>
      <c r="H496" s="8" t="s">
        <v>42</v>
      </c>
      <c r="I496" s="8" t="s">
        <v>42</v>
      </c>
    </row>
    <row r="497">
      <c r="A497" s="1"/>
      <c r="B497" s="1"/>
      <c r="D497" s="15"/>
      <c r="H497" s="8" t="s">
        <v>42</v>
      </c>
      <c r="I497" s="8" t="s">
        <v>42</v>
      </c>
    </row>
    <row r="498">
      <c r="A498" s="1"/>
      <c r="B498" s="1"/>
      <c r="D498" s="15"/>
      <c r="H498" s="8" t="s">
        <v>42</v>
      </c>
      <c r="I498" s="8" t="s">
        <v>42</v>
      </c>
    </row>
    <row r="499">
      <c r="A499" s="1"/>
      <c r="B499" s="1"/>
      <c r="D499" s="15"/>
      <c r="H499" s="8" t="s">
        <v>42</v>
      </c>
      <c r="I499" s="8" t="s">
        <v>42</v>
      </c>
    </row>
    <row r="500">
      <c r="A500" s="1"/>
      <c r="B500" s="1"/>
      <c r="D500" s="15"/>
      <c r="H500" s="8" t="s">
        <v>42</v>
      </c>
      <c r="I500" s="8" t="s">
        <v>42</v>
      </c>
    </row>
    <row r="501">
      <c r="A501" s="1"/>
      <c r="B501" s="1"/>
      <c r="D501" s="15"/>
      <c r="H501" s="8" t="s">
        <v>42</v>
      </c>
      <c r="I501" s="8" t="s">
        <v>42</v>
      </c>
    </row>
    <row r="502">
      <c r="A502" s="1"/>
      <c r="B502" s="1"/>
      <c r="D502" s="15"/>
      <c r="H502" s="8" t="s">
        <v>42</v>
      </c>
      <c r="I502" s="8" t="s">
        <v>42</v>
      </c>
    </row>
    <row r="503">
      <c r="A503" s="1"/>
      <c r="B503" s="1"/>
      <c r="D503" s="15"/>
      <c r="H503" s="8" t="s">
        <v>42</v>
      </c>
      <c r="I503" s="8" t="s">
        <v>42</v>
      </c>
    </row>
    <row r="504">
      <c r="A504" s="1"/>
      <c r="B504" s="1"/>
      <c r="D504" s="15"/>
      <c r="H504" s="8" t="s">
        <v>42</v>
      </c>
      <c r="I504" s="8" t="s">
        <v>42</v>
      </c>
    </row>
    <row r="505">
      <c r="A505" s="1"/>
      <c r="B505" s="1"/>
      <c r="D505" s="15"/>
      <c r="H505" s="8" t="s">
        <v>42</v>
      </c>
      <c r="I505" s="8" t="s">
        <v>42</v>
      </c>
    </row>
    <row r="506">
      <c r="A506" s="1"/>
      <c r="B506" s="1"/>
      <c r="D506" s="15"/>
      <c r="H506" s="8" t="s">
        <v>42</v>
      </c>
      <c r="I506" s="8" t="s">
        <v>42</v>
      </c>
    </row>
    <row r="507">
      <c r="A507" s="1"/>
      <c r="B507" s="1"/>
      <c r="D507" s="15"/>
      <c r="H507" s="8" t="s">
        <v>42</v>
      </c>
      <c r="I507" s="8" t="s">
        <v>42</v>
      </c>
    </row>
    <row r="508">
      <c r="A508" s="1"/>
      <c r="B508" s="1"/>
      <c r="D508" s="15"/>
      <c r="H508" s="8" t="s">
        <v>42</v>
      </c>
      <c r="I508" s="8" t="s">
        <v>42</v>
      </c>
    </row>
    <row r="509">
      <c r="A509" s="1"/>
      <c r="B509" s="1"/>
      <c r="D509" s="15"/>
      <c r="H509" s="8" t="s">
        <v>42</v>
      </c>
      <c r="I509" s="8" t="s">
        <v>42</v>
      </c>
    </row>
    <row r="510">
      <c r="A510" s="1"/>
      <c r="B510" s="1"/>
      <c r="D510" s="15"/>
      <c r="H510" s="8" t="s">
        <v>42</v>
      </c>
      <c r="I510" s="8" t="s">
        <v>42</v>
      </c>
    </row>
    <row r="511">
      <c r="A511" s="1"/>
      <c r="B511" s="1"/>
      <c r="D511" s="15"/>
      <c r="H511" s="8" t="s">
        <v>42</v>
      </c>
      <c r="I511" s="8" t="s">
        <v>42</v>
      </c>
    </row>
    <row r="512">
      <c r="A512" s="1"/>
      <c r="B512" s="1"/>
      <c r="D512" s="15"/>
      <c r="H512" s="8" t="s">
        <v>42</v>
      </c>
      <c r="I512" s="8" t="s">
        <v>42</v>
      </c>
    </row>
    <row r="513">
      <c r="A513" s="1"/>
      <c r="B513" s="1"/>
      <c r="D513" s="15"/>
      <c r="H513" s="8" t="s">
        <v>42</v>
      </c>
      <c r="I513" s="8" t="s">
        <v>42</v>
      </c>
    </row>
    <row r="514">
      <c r="A514" s="1"/>
      <c r="B514" s="1"/>
      <c r="D514" s="15"/>
      <c r="H514" s="8" t="s">
        <v>42</v>
      </c>
      <c r="I514" s="8" t="s">
        <v>42</v>
      </c>
    </row>
    <row r="515">
      <c r="A515" s="1"/>
      <c r="B515" s="1"/>
      <c r="D515" s="15"/>
      <c r="H515" s="8" t="s">
        <v>42</v>
      </c>
      <c r="I515" s="8" t="s">
        <v>42</v>
      </c>
    </row>
    <row r="516">
      <c r="A516" s="1"/>
      <c r="B516" s="1"/>
      <c r="D516" s="15"/>
      <c r="H516" s="8" t="s">
        <v>42</v>
      </c>
      <c r="I516" s="8" t="s">
        <v>42</v>
      </c>
    </row>
    <row r="517">
      <c r="A517" s="1"/>
      <c r="B517" s="1"/>
      <c r="D517" s="15"/>
      <c r="H517" s="8" t="s">
        <v>42</v>
      </c>
      <c r="I517" s="8" t="s">
        <v>42</v>
      </c>
    </row>
    <row r="518">
      <c r="A518" s="1"/>
      <c r="B518" s="1"/>
      <c r="D518" s="15"/>
      <c r="H518" s="8" t="s">
        <v>42</v>
      </c>
      <c r="I518" s="8" t="s">
        <v>42</v>
      </c>
    </row>
    <row r="519">
      <c r="A519" s="1"/>
      <c r="B519" s="1"/>
      <c r="D519" s="15"/>
      <c r="H519" s="8" t="s">
        <v>42</v>
      </c>
      <c r="I519" s="8" t="s">
        <v>42</v>
      </c>
    </row>
    <row r="520">
      <c r="A520" s="1"/>
      <c r="B520" s="1"/>
      <c r="D520" s="15"/>
      <c r="H520" s="8" t="s">
        <v>42</v>
      </c>
      <c r="I520" s="8" t="s">
        <v>42</v>
      </c>
    </row>
    <row r="521">
      <c r="A521" s="1"/>
      <c r="B521" s="1"/>
      <c r="D521" s="15"/>
      <c r="H521" s="8" t="s">
        <v>42</v>
      </c>
      <c r="I521" s="8" t="s">
        <v>42</v>
      </c>
    </row>
    <row r="522">
      <c r="A522" s="1"/>
      <c r="B522" s="1"/>
      <c r="D522" s="15"/>
      <c r="H522" s="8" t="s">
        <v>42</v>
      </c>
      <c r="I522" s="8" t="s">
        <v>42</v>
      </c>
    </row>
    <row r="523">
      <c r="A523" s="1"/>
      <c r="B523" s="1"/>
      <c r="D523" s="15"/>
      <c r="H523" s="8" t="s">
        <v>42</v>
      </c>
      <c r="I523" s="8" t="s">
        <v>42</v>
      </c>
    </row>
    <row r="524">
      <c r="A524" s="1"/>
      <c r="B524" s="1"/>
      <c r="D524" s="15"/>
      <c r="H524" s="8" t="s">
        <v>42</v>
      </c>
      <c r="I524" s="8" t="s">
        <v>42</v>
      </c>
    </row>
    <row r="525">
      <c r="A525" s="1"/>
      <c r="B525" s="1"/>
      <c r="D525" s="15"/>
      <c r="H525" s="8" t="s">
        <v>42</v>
      </c>
      <c r="I525" s="8" t="s">
        <v>42</v>
      </c>
    </row>
    <row r="526">
      <c r="A526" s="1"/>
      <c r="B526" s="1"/>
      <c r="D526" s="15"/>
      <c r="H526" s="8" t="s">
        <v>42</v>
      </c>
      <c r="I526" s="8" t="s">
        <v>42</v>
      </c>
    </row>
    <row r="527">
      <c r="A527" s="1"/>
      <c r="B527" s="1"/>
      <c r="D527" s="15"/>
      <c r="H527" s="8" t="s">
        <v>42</v>
      </c>
      <c r="I527" s="8" t="s">
        <v>42</v>
      </c>
    </row>
    <row r="528">
      <c r="A528" s="1"/>
      <c r="B528" s="1"/>
      <c r="D528" s="15"/>
      <c r="H528" s="8" t="s">
        <v>42</v>
      </c>
      <c r="I528" s="8" t="s">
        <v>42</v>
      </c>
    </row>
    <row r="529">
      <c r="A529" s="1"/>
      <c r="B529" s="1"/>
      <c r="D529" s="15"/>
      <c r="H529" s="8" t="s">
        <v>42</v>
      </c>
      <c r="I529" s="8" t="s">
        <v>42</v>
      </c>
    </row>
    <row r="530">
      <c r="A530" s="1"/>
      <c r="B530" s="1"/>
      <c r="D530" s="15"/>
      <c r="H530" s="8" t="s">
        <v>42</v>
      </c>
      <c r="I530" s="8" t="s">
        <v>42</v>
      </c>
    </row>
    <row r="531">
      <c r="A531" s="1"/>
      <c r="B531" s="1"/>
      <c r="D531" s="15"/>
      <c r="H531" s="8" t="s">
        <v>42</v>
      </c>
      <c r="I531" s="8" t="s">
        <v>42</v>
      </c>
    </row>
    <row r="532">
      <c r="A532" s="1"/>
      <c r="B532" s="1"/>
      <c r="D532" s="15"/>
      <c r="H532" s="8" t="s">
        <v>42</v>
      </c>
      <c r="I532" s="8" t="s">
        <v>42</v>
      </c>
    </row>
    <row r="533">
      <c r="A533" s="1"/>
      <c r="B533" s="1"/>
      <c r="D533" s="15"/>
      <c r="H533" s="8" t="s">
        <v>42</v>
      </c>
      <c r="I533" s="8" t="s">
        <v>42</v>
      </c>
    </row>
    <row r="534">
      <c r="A534" s="1"/>
      <c r="B534" s="1"/>
      <c r="D534" s="15"/>
      <c r="H534" s="8" t="s">
        <v>42</v>
      </c>
      <c r="I534" s="8" t="s">
        <v>42</v>
      </c>
    </row>
    <row r="535">
      <c r="A535" s="1"/>
      <c r="B535" s="1"/>
      <c r="D535" s="15"/>
      <c r="H535" s="8" t="s">
        <v>42</v>
      </c>
      <c r="I535" s="8" t="s">
        <v>42</v>
      </c>
    </row>
    <row r="536">
      <c r="A536" s="1"/>
      <c r="B536" s="1"/>
      <c r="D536" s="15"/>
      <c r="H536" s="8" t="s">
        <v>42</v>
      </c>
      <c r="I536" s="8" t="s">
        <v>42</v>
      </c>
    </row>
    <row r="537">
      <c r="A537" s="1"/>
      <c r="B537" s="1"/>
      <c r="D537" s="15"/>
      <c r="H537" s="8" t="s">
        <v>42</v>
      </c>
      <c r="I537" s="8" t="s">
        <v>42</v>
      </c>
    </row>
    <row r="538">
      <c r="A538" s="1"/>
      <c r="B538" s="1"/>
      <c r="D538" s="15"/>
      <c r="H538" s="8" t="s">
        <v>42</v>
      </c>
      <c r="I538" s="8" t="s">
        <v>42</v>
      </c>
    </row>
    <row r="539">
      <c r="A539" s="1"/>
      <c r="B539" s="1"/>
      <c r="D539" s="15"/>
      <c r="H539" s="8" t="s">
        <v>42</v>
      </c>
      <c r="I539" s="8" t="s">
        <v>42</v>
      </c>
    </row>
    <row r="540">
      <c r="A540" s="1"/>
      <c r="B540" s="1"/>
      <c r="D540" s="15"/>
      <c r="H540" s="8" t="s">
        <v>42</v>
      </c>
      <c r="I540" s="8" t="s">
        <v>42</v>
      </c>
    </row>
    <row r="541">
      <c r="A541" s="1"/>
      <c r="B541" s="1"/>
      <c r="D541" s="15"/>
      <c r="H541" s="8" t="s">
        <v>42</v>
      </c>
      <c r="I541" s="8" t="s">
        <v>42</v>
      </c>
    </row>
    <row r="542">
      <c r="A542" s="1"/>
      <c r="B542" s="1"/>
      <c r="D542" s="15"/>
      <c r="H542" s="8" t="s">
        <v>42</v>
      </c>
      <c r="I542" s="8" t="s">
        <v>42</v>
      </c>
    </row>
    <row r="543">
      <c r="A543" s="1"/>
      <c r="B543" s="1"/>
      <c r="D543" s="15"/>
      <c r="H543" s="8" t="s">
        <v>42</v>
      </c>
      <c r="I543" s="8" t="s">
        <v>42</v>
      </c>
    </row>
    <row r="544">
      <c r="A544" s="1"/>
      <c r="B544" s="1"/>
      <c r="D544" s="15"/>
      <c r="H544" s="8" t="s">
        <v>42</v>
      </c>
      <c r="I544" s="8" t="s">
        <v>42</v>
      </c>
    </row>
    <row r="545">
      <c r="A545" s="1"/>
      <c r="B545" s="1"/>
      <c r="D545" s="15"/>
      <c r="H545" s="8" t="s">
        <v>42</v>
      </c>
      <c r="I545" s="8" t="s">
        <v>42</v>
      </c>
    </row>
    <row r="546">
      <c r="A546" s="1"/>
      <c r="B546" s="1"/>
      <c r="D546" s="15"/>
      <c r="H546" s="8" t="s">
        <v>42</v>
      </c>
      <c r="I546" s="8" t="s">
        <v>42</v>
      </c>
    </row>
    <row r="547">
      <c r="A547" s="1"/>
      <c r="B547" s="1"/>
      <c r="D547" s="15"/>
      <c r="H547" s="8" t="s">
        <v>42</v>
      </c>
      <c r="I547" s="8" t="s">
        <v>42</v>
      </c>
    </row>
    <row r="548">
      <c r="A548" s="1"/>
      <c r="B548" s="1"/>
      <c r="D548" s="15"/>
      <c r="H548" s="8" t="s">
        <v>42</v>
      </c>
      <c r="I548" s="8" t="s">
        <v>42</v>
      </c>
    </row>
    <row r="549">
      <c r="A549" s="1"/>
      <c r="B549" s="1"/>
      <c r="D549" s="15"/>
      <c r="H549" s="8" t="s">
        <v>42</v>
      </c>
      <c r="I549" s="8" t="s">
        <v>42</v>
      </c>
    </row>
    <row r="550">
      <c r="A550" s="1"/>
      <c r="B550" s="1"/>
      <c r="D550" s="15"/>
      <c r="H550" s="8" t="s">
        <v>42</v>
      </c>
      <c r="I550" s="8" t="s">
        <v>42</v>
      </c>
    </row>
    <row r="551">
      <c r="A551" s="1"/>
      <c r="B551" s="1"/>
      <c r="D551" s="15"/>
      <c r="H551" s="8" t="s">
        <v>42</v>
      </c>
      <c r="I551" s="8" t="s">
        <v>42</v>
      </c>
    </row>
    <row r="552">
      <c r="A552" s="1"/>
      <c r="B552" s="1"/>
      <c r="D552" s="15"/>
      <c r="H552" s="8" t="s">
        <v>42</v>
      </c>
      <c r="I552" s="8" t="s">
        <v>42</v>
      </c>
    </row>
    <row r="553">
      <c r="A553" s="1"/>
      <c r="B553" s="1"/>
      <c r="D553" s="15"/>
      <c r="H553" s="8" t="s">
        <v>42</v>
      </c>
      <c r="I553" s="8" t="s">
        <v>42</v>
      </c>
    </row>
    <row r="554">
      <c r="A554" s="1"/>
      <c r="B554" s="1"/>
      <c r="D554" s="15"/>
      <c r="H554" s="8" t="s">
        <v>42</v>
      </c>
      <c r="I554" s="8" t="s">
        <v>42</v>
      </c>
    </row>
    <row r="555">
      <c r="A555" s="1"/>
      <c r="B555" s="1"/>
      <c r="D555" s="15"/>
      <c r="H555" s="8" t="s">
        <v>42</v>
      </c>
      <c r="I555" s="8" t="s">
        <v>42</v>
      </c>
    </row>
    <row r="556">
      <c r="A556" s="1"/>
      <c r="B556" s="1"/>
      <c r="D556" s="15"/>
      <c r="H556" s="8" t="s">
        <v>42</v>
      </c>
      <c r="I556" s="8" t="s">
        <v>42</v>
      </c>
    </row>
    <row r="557">
      <c r="A557" s="1"/>
      <c r="B557" s="1"/>
      <c r="D557" s="15"/>
      <c r="H557" s="8" t="s">
        <v>42</v>
      </c>
      <c r="I557" s="8" t="s">
        <v>42</v>
      </c>
    </row>
    <row r="558">
      <c r="A558" s="1"/>
      <c r="B558" s="1"/>
      <c r="D558" s="15"/>
      <c r="H558" s="8" t="s">
        <v>42</v>
      </c>
      <c r="I558" s="8" t="s">
        <v>42</v>
      </c>
    </row>
    <row r="559">
      <c r="A559" s="1"/>
      <c r="B559" s="1"/>
      <c r="D559" s="15"/>
      <c r="H559" s="8" t="s">
        <v>42</v>
      </c>
      <c r="I559" s="8" t="s">
        <v>42</v>
      </c>
    </row>
    <row r="560">
      <c r="A560" s="1"/>
      <c r="B560" s="1"/>
      <c r="D560" s="15"/>
      <c r="H560" s="8" t="s">
        <v>42</v>
      </c>
      <c r="I560" s="8" t="s">
        <v>42</v>
      </c>
    </row>
    <row r="561">
      <c r="A561" s="1"/>
      <c r="B561" s="1"/>
      <c r="D561" s="15"/>
      <c r="H561" s="8" t="s">
        <v>42</v>
      </c>
      <c r="I561" s="8" t="s">
        <v>42</v>
      </c>
    </row>
    <row r="562">
      <c r="A562" s="1"/>
      <c r="B562" s="1"/>
      <c r="D562" s="15"/>
      <c r="H562" s="8" t="s">
        <v>42</v>
      </c>
      <c r="I562" s="8" t="s">
        <v>42</v>
      </c>
    </row>
    <row r="563">
      <c r="A563" s="1"/>
      <c r="B563" s="1"/>
      <c r="D563" s="15"/>
      <c r="H563" s="8" t="s">
        <v>42</v>
      </c>
      <c r="I563" s="8" t="s">
        <v>42</v>
      </c>
    </row>
    <row r="564">
      <c r="A564" s="1"/>
      <c r="B564" s="1"/>
      <c r="D564" s="15"/>
      <c r="H564" s="8" t="s">
        <v>42</v>
      </c>
      <c r="I564" s="8" t="s">
        <v>42</v>
      </c>
    </row>
    <row r="565">
      <c r="A565" s="1"/>
      <c r="B565" s="1"/>
      <c r="D565" s="15"/>
      <c r="H565" s="8" t="s">
        <v>42</v>
      </c>
      <c r="I565" s="8" t="s">
        <v>42</v>
      </c>
    </row>
    <row r="566">
      <c r="A566" s="1"/>
      <c r="B566" s="1"/>
      <c r="D566" s="15"/>
      <c r="H566" s="8" t="s">
        <v>42</v>
      </c>
      <c r="I566" s="8" t="s">
        <v>42</v>
      </c>
    </row>
    <row r="567">
      <c r="A567" s="1"/>
      <c r="B567" s="1"/>
      <c r="D567" s="15"/>
      <c r="H567" s="8" t="s">
        <v>42</v>
      </c>
      <c r="I567" s="8" t="s">
        <v>42</v>
      </c>
    </row>
    <row r="568">
      <c r="A568" s="1"/>
      <c r="B568" s="1"/>
      <c r="D568" s="15"/>
      <c r="H568" s="8" t="s">
        <v>42</v>
      </c>
      <c r="I568" s="8" t="s">
        <v>42</v>
      </c>
    </row>
    <row r="569">
      <c r="A569" s="1"/>
      <c r="B569" s="1"/>
      <c r="D569" s="15"/>
      <c r="H569" s="8" t="s">
        <v>42</v>
      </c>
      <c r="I569" s="8" t="s">
        <v>42</v>
      </c>
    </row>
    <row r="570">
      <c r="A570" s="1"/>
      <c r="B570" s="1"/>
      <c r="D570" s="15"/>
      <c r="H570" s="8" t="s">
        <v>42</v>
      </c>
      <c r="I570" s="8" t="s">
        <v>42</v>
      </c>
    </row>
    <row r="571">
      <c r="A571" s="1"/>
      <c r="B571" s="1"/>
      <c r="D571" s="15"/>
      <c r="H571" s="8" t="s">
        <v>42</v>
      </c>
      <c r="I571" s="8" t="s">
        <v>42</v>
      </c>
    </row>
    <row r="572">
      <c r="A572" s="1"/>
      <c r="B572" s="1"/>
      <c r="D572" s="15"/>
      <c r="H572" s="8" t="s">
        <v>42</v>
      </c>
      <c r="I572" s="8" t="s">
        <v>42</v>
      </c>
    </row>
    <row r="573">
      <c r="A573" s="1"/>
      <c r="B573" s="1"/>
      <c r="D573" s="15"/>
      <c r="H573" s="8" t="s">
        <v>42</v>
      </c>
      <c r="I573" s="8" t="s">
        <v>42</v>
      </c>
    </row>
    <row r="574">
      <c r="A574" s="1"/>
      <c r="B574" s="1"/>
      <c r="D574" s="15"/>
      <c r="H574" s="8" t="s">
        <v>42</v>
      </c>
      <c r="I574" s="8" t="s">
        <v>42</v>
      </c>
    </row>
    <row r="575">
      <c r="A575" s="1"/>
      <c r="B575" s="1"/>
      <c r="D575" s="15"/>
      <c r="H575" s="8" t="s">
        <v>42</v>
      </c>
      <c r="I575" s="8" t="s">
        <v>42</v>
      </c>
    </row>
    <row r="576">
      <c r="A576" s="1"/>
      <c r="B576" s="1"/>
      <c r="D576" s="15"/>
      <c r="H576" s="8" t="s">
        <v>42</v>
      </c>
      <c r="I576" s="8" t="s">
        <v>42</v>
      </c>
    </row>
    <row r="577">
      <c r="A577" s="1"/>
      <c r="B577" s="1"/>
      <c r="D577" s="15"/>
      <c r="H577" s="8" t="s">
        <v>42</v>
      </c>
      <c r="I577" s="8" t="s">
        <v>42</v>
      </c>
    </row>
    <row r="578">
      <c r="A578" s="1"/>
      <c r="B578" s="1"/>
      <c r="D578" s="15"/>
      <c r="H578" s="8" t="s">
        <v>42</v>
      </c>
      <c r="I578" s="8" t="s">
        <v>42</v>
      </c>
    </row>
    <row r="579">
      <c r="A579" s="1"/>
      <c r="B579" s="1"/>
      <c r="D579" s="15"/>
      <c r="H579" s="8" t="s">
        <v>42</v>
      </c>
      <c r="I579" s="8" t="s">
        <v>42</v>
      </c>
    </row>
    <row r="580">
      <c r="A580" s="1"/>
      <c r="B580" s="1"/>
      <c r="D580" s="15"/>
      <c r="H580" s="8" t="s">
        <v>42</v>
      </c>
      <c r="I580" s="8" t="s">
        <v>42</v>
      </c>
    </row>
    <row r="581">
      <c r="A581" s="1"/>
      <c r="B581" s="1"/>
      <c r="D581" s="15"/>
      <c r="H581" s="8" t="s">
        <v>42</v>
      </c>
      <c r="I581" s="8" t="s">
        <v>42</v>
      </c>
    </row>
    <row r="582">
      <c r="A582" s="1"/>
      <c r="B582" s="1"/>
      <c r="D582" s="15"/>
      <c r="H582" s="8" t="s">
        <v>42</v>
      </c>
      <c r="I582" s="8" t="s">
        <v>42</v>
      </c>
    </row>
    <row r="583">
      <c r="A583" s="1"/>
      <c r="B583" s="1"/>
      <c r="D583" s="15"/>
      <c r="H583" s="8" t="s">
        <v>42</v>
      </c>
      <c r="I583" s="8" t="s">
        <v>42</v>
      </c>
    </row>
    <row r="584">
      <c r="A584" s="1"/>
      <c r="B584" s="1"/>
      <c r="D584" s="15"/>
      <c r="H584" s="8" t="s">
        <v>42</v>
      </c>
      <c r="I584" s="8" t="s">
        <v>42</v>
      </c>
    </row>
    <row r="585">
      <c r="A585" s="1"/>
      <c r="B585" s="1"/>
      <c r="D585" s="15"/>
      <c r="H585" s="8" t="s">
        <v>42</v>
      </c>
      <c r="I585" s="8" t="s">
        <v>42</v>
      </c>
    </row>
    <row r="586">
      <c r="A586" s="1"/>
      <c r="B586" s="1"/>
      <c r="D586" s="15"/>
      <c r="H586" s="8" t="s">
        <v>42</v>
      </c>
      <c r="I586" s="8" t="s">
        <v>42</v>
      </c>
    </row>
    <row r="587">
      <c r="A587" s="1"/>
      <c r="B587" s="1"/>
      <c r="D587" s="15"/>
      <c r="H587" s="8" t="s">
        <v>42</v>
      </c>
      <c r="I587" s="8" t="s">
        <v>42</v>
      </c>
    </row>
    <row r="588">
      <c r="A588" s="1"/>
      <c r="B588" s="1"/>
      <c r="D588" s="15"/>
      <c r="H588" s="8" t="s">
        <v>42</v>
      </c>
      <c r="I588" s="8" t="s">
        <v>42</v>
      </c>
    </row>
    <row r="589">
      <c r="A589" s="1"/>
      <c r="B589" s="1"/>
      <c r="D589" s="15"/>
      <c r="H589" s="8" t="s">
        <v>42</v>
      </c>
      <c r="I589" s="8" t="s">
        <v>42</v>
      </c>
    </row>
    <row r="590">
      <c r="A590" s="1"/>
      <c r="B590" s="1"/>
      <c r="D590" s="15"/>
      <c r="H590" s="8" t="s">
        <v>42</v>
      </c>
      <c r="I590" s="8" t="s">
        <v>42</v>
      </c>
    </row>
    <row r="591">
      <c r="A591" s="1"/>
      <c r="B591" s="1"/>
      <c r="D591" s="15"/>
      <c r="H591" s="8" t="s">
        <v>42</v>
      </c>
      <c r="I591" s="8" t="s">
        <v>42</v>
      </c>
    </row>
    <row r="592">
      <c r="A592" s="1"/>
      <c r="B592" s="1"/>
      <c r="D592" s="15"/>
      <c r="H592" s="8" t="s">
        <v>42</v>
      </c>
      <c r="I592" s="8" t="s">
        <v>42</v>
      </c>
    </row>
    <row r="593">
      <c r="A593" s="1"/>
      <c r="B593" s="1"/>
      <c r="D593" s="15"/>
      <c r="H593" s="8" t="s">
        <v>42</v>
      </c>
      <c r="I593" s="8" t="s">
        <v>42</v>
      </c>
    </row>
    <row r="594">
      <c r="A594" s="1"/>
      <c r="B594" s="1"/>
      <c r="D594" s="15"/>
      <c r="H594" s="8" t="s">
        <v>42</v>
      </c>
      <c r="I594" s="8" t="s">
        <v>42</v>
      </c>
    </row>
    <row r="595">
      <c r="A595" s="1"/>
      <c r="B595" s="1"/>
      <c r="D595" s="15"/>
      <c r="H595" s="8" t="s">
        <v>42</v>
      </c>
      <c r="I595" s="8" t="s">
        <v>42</v>
      </c>
    </row>
    <row r="596">
      <c r="A596" s="1"/>
      <c r="B596" s="1"/>
      <c r="D596" s="15"/>
      <c r="H596" s="8" t="s">
        <v>42</v>
      </c>
      <c r="I596" s="8" t="s">
        <v>42</v>
      </c>
    </row>
    <row r="597">
      <c r="A597" s="1"/>
      <c r="B597" s="1"/>
      <c r="D597" s="15"/>
      <c r="H597" s="8" t="s">
        <v>42</v>
      </c>
      <c r="I597" s="8" t="s">
        <v>42</v>
      </c>
    </row>
    <row r="598">
      <c r="A598" s="1"/>
      <c r="B598" s="1"/>
      <c r="D598" s="15"/>
      <c r="H598" s="8" t="s">
        <v>42</v>
      </c>
      <c r="I598" s="8" t="s">
        <v>42</v>
      </c>
    </row>
    <row r="599">
      <c r="A599" s="1"/>
      <c r="B599" s="1"/>
      <c r="D599" s="15"/>
      <c r="H599" s="8" t="s">
        <v>42</v>
      </c>
      <c r="I599" s="8" t="s">
        <v>42</v>
      </c>
    </row>
    <row r="600">
      <c r="A600" s="1"/>
      <c r="B600" s="1"/>
      <c r="D600" s="15"/>
      <c r="H600" s="8" t="s">
        <v>42</v>
      </c>
      <c r="I600" s="8" t="s">
        <v>42</v>
      </c>
    </row>
    <row r="601">
      <c r="A601" s="1"/>
      <c r="B601" s="1"/>
      <c r="D601" s="15"/>
      <c r="H601" s="8" t="s">
        <v>42</v>
      </c>
      <c r="I601" s="8" t="s">
        <v>42</v>
      </c>
    </row>
    <row r="602">
      <c r="A602" s="1"/>
      <c r="B602" s="1"/>
      <c r="D602" s="15"/>
      <c r="H602" s="8" t="s">
        <v>42</v>
      </c>
      <c r="I602" s="8" t="s">
        <v>42</v>
      </c>
    </row>
    <row r="603">
      <c r="A603" s="1"/>
      <c r="B603" s="1"/>
      <c r="D603" s="15"/>
      <c r="H603" s="8" t="s">
        <v>42</v>
      </c>
      <c r="I603" s="8" t="s">
        <v>42</v>
      </c>
    </row>
    <row r="604">
      <c r="A604" s="1"/>
      <c r="B604" s="1"/>
      <c r="D604" s="15"/>
      <c r="H604" s="8" t="s">
        <v>42</v>
      </c>
      <c r="I604" s="8" t="s">
        <v>42</v>
      </c>
    </row>
    <row r="605">
      <c r="A605" s="1"/>
      <c r="B605" s="1"/>
      <c r="D605" s="15"/>
      <c r="H605" s="8" t="s">
        <v>42</v>
      </c>
      <c r="I605" s="8" t="s">
        <v>42</v>
      </c>
    </row>
    <row r="606">
      <c r="A606" s="1"/>
      <c r="B606" s="1"/>
      <c r="D606" s="15"/>
      <c r="H606" s="8" t="s">
        <v>42</v>
      </c>
      <c r="I606" s="8" t="s">
        <v>42</v>
      </c>
    </row>
    <row r="607">
      <c r="A607" s="1"/>
      <c r="B607" s="1"/>
      <c r="D607" s="15"/>
      <c r="H607" s="8" t="s">
        <v>42</v>
      </c>
      <c r="I607" s="8" t="s">
        <v>42</v>
      </c>
    </row>
    <row r="608">
      <c r="A608" s="1"/>
      <c r="B608" s="1"/>
      <c r="D608" s="15"/>
      <c r="H608" s="8" t="s">
        <v>42</v>
      </c>
      <c r="I608" s="8" t="s">
        <v>42</v>
      </c>
    </row>
    <row r="609">
      <c r="A609" s="1"/>
      <c r="B609" s="1"/>
      <c r="D609" s="15"/>
      <c r="H609" s="8" t="s">
        <v>42</v>
      </c>
      <c r="I609" s="8" t="s">
        <v>42</v>
      </c>
    </row>
    <row r="610">
      <c r="A610" s="1"/>
      <c r="B610" s="1"/>
      <c r="D610" s="15"/>
      <c r="H610" s="8" t="s">
        <v>42</v>
      </c>
      <c r="I610" s="8" t="s">
        <v>42</v>
      </c>
    </row>
    <row r="611">
      <c r="A611" s="1"/>
      <c r="B611" s="1"/>
      <c r="D611" s="15"/>
      <c r="H611" s="8" t="s">
        <v>42</v>
      </c>
      <c r="I611" s="8" t="s">
        <v>42</v>
      </c>
    </row>
    <row r="612">
      <c r="A612" s="1"/>
      <c r="B612" s="1"/>
      <c r="D612" s="15"/>
      <c r="H612" s="8" t="s">
        <v>42</v>
      </c>
      <c r="I612" s="8" t="s">
        <v>42</v>
      </c>
    </row>
    <row r="613">
      <c r="A613" s="1"/>
      <c r="B613" s="1"/>
      <c r="D613" s="15"/>
      <c r="H613" s="8" t="s">
        <v>42</v>
      </c>
      <c r="I613" s="8" t="s">
        <v>42</v>
      </c>
    </row>
    <row r="614">
      <c r="A614" s="1"/>
      <c r="B614" s="1"/>
      <c r="D614" s="15"/>
      <c r="H614" s="8" t="s">
        <v>42</v>
      </c>
      <c r="I614" s="8" t="s">
        <v>42</v>
      </c>
    </row>
    <row r="615">
      <c r="A615" s="1"/>
      <c r="B615" s="1"/>
      <c r="D615" s="15"/>
      <c r="H615" s="8" t="s">
        <v>42</v>
      </c>
      <c r="I615" s="8" t="s">
        <v>42</v>
      </c>
    </row>
    <row r="616">
      <c r="A616" s="1"/>
      <c r="B616" s="1"/>
      <c r="D616" s="15"/>
      <c r="H616" s="8" t="s">
        <v>42</v>
      </c>
      <c r="I616" s="8" t="s">
        <v>42</v>
      </c>
    </row>
    <row r="617">
      <c r="A617" s="1"/>
      <c r="B617" s="1"/>
      <c r="D617" s="15"/>
      <c r="H617" s="8" t="s">
        <v>42</v>
      </c>
      <c r="I617" s="8" t="s">
        <v>42</v>
      </c>
    </row>
    <row r="618">
      <c r="A618" s="1"/>
      <c r="B618" s="1"/>
      <c r="D618" s="15"/>
      <c r="H618" s="8" t="s">
        <v>42</v>
      </c>
      <c r="I618" s="8" t="s">
        <v>42</v>
      </c>
    </row>
    <row r="619">
      <c r="A619" s="1"/>
      <c r="B619" s="1"/>
      <c r="D619" s="15"/>
      <c r="H619" s="8" t="s">
        <v>42</v>
      </c>
      <c r="I619" s="8" t="s">
        <v>42</v>
      </c>
    </row>
    <row r="620">
      <c r="A620" s="1"/>
      <c r="B620" s="1"/>
      <c r="D620" s="15"/>
      <c r="H620" s="8" t="s">
        <v>42</v>
      </c>
      <c r="I620" s="8" t="s">
        <v>42</v>
      </c>
    </row>
    <row r="621">
      <c r="A621" s="1"/>
      <c r="B621" s="1"/>
      <c r="D621" s="15"/>
      <c r="H621" s="8" t="s">
        <v>42</v>
      </c>
      <c r="I621" s="8" t="s">
        <v>42</v>
      </c>
    </row>
    <row r="622">
      <c r="A622" s="1"/>
      <c r="B622" s="1"/>
      <c r="D622" s="15"/>
      <c r="H622" s="8" t="s">
        <v>42</v>
      </c>
      <c r="I622" s="8" t="s">
        <v>42</v>
      </c>
    </row>
    <row r="623">
      <c r="A623" s="1"/>
      <c r="B623" s="1"/>
      <c r="D623" s="15"/>
      <c r="H623" s="8" t="s">
        <v>42</v>
      </c>
      <c r="I623" s="8" t="s">
        <v>42</v>
      </c>
    </row>
    <row r="624">
      <c r="A624" s="1"/>
      <c r="B624" s="1"/>
      <c r="D624" s="15"/>
      <c r="H624" s="8" t="s">
        <v>42</v>
      </c>
      <c r="I624" s="8" t="s">
        <v>42</v>
      </c>
    </row>
    <row r="625">
      <c r="A625" s="1"/>
      <c r="B625" s="1"/>
      <c r="D625" s="15"/>
      <c r="H625" s="8" t="s">
        <v>42</v>
      </c>
      <c r="I625" s="8" t="s">
        <v>42</v>
      </c>
    </row>
    <row r="626">
      <c r="A626" s="1"/>
      <c r="B626" s="1"/>
      <c r="D626" s="15"/>
      <c r="H626" s="8" t="s">
        <v>42</v>
      </c>
      <c r="I626" s="8" t="s">
        <v>42</v>
      </c>
    </row>
    <row r="627">
      <c r="A627" s="1"/>
      <c r="B627" s="1"/>
      <c r="D627" s="15"/>
      <c r="H627" s="8" t="s">
        <v>42</v>
      </c>
      <c r="I627" s="8" t="s">
        <v>42</v>
      </c>
    </row>
    <row r="628">
      <c r="A628" s="1"/>
      <c r="B628" s="1"/>
      <c r="D628" s="15"/>
      <c r="H628" s="8" t="s">
        <v>42</v>
      </c>
      <c r="I628" s="8" t="s">
        <v>42</v>
      </c>
    </row>
    <row r="629">
      <c r="A629" s="1"/>
      <c r="B629" s="1"/>
      <c r="D629" s="15"/>
      <c r="H629" s="8" t="s">
        <v>42</v>
      </c>
      <c r="I629" s="8" t="s">
        <v>42</v>
      </c>
    </row>
    <row r="630">
      <c r="A630" s="1"/>
      <c r="B630" s="1"/>
      <c r="D630" s="15"/>
      <c r="H630" s="8" t="s">
        <v>42</v>
      </c>
      <c r="I630" s="8" t="s">
        <v>42</v>
      </c>
    </row>
    <row r="631">
      <c r="A631" s="1"/>
      <c r="B631" s="1"/>
      <c r="D631" s="15"/>
      <c r="H631" s="8" t="s">
        <v>42</v>
      </c>
      <c r="I631" s="8" t="s">
        <v>42</v>
      </c>
    </row>
    <row r="632">
      <c r="A632" s="1"/>
      <c r="B632" s="1"/>
      <c r="D632" s="15"/>
      <c r="H632" s="8" t="s">
        <v>42</v>
      </c>
      <c r="I632" s="8" t="s">
        <v>42</v>
      </c>
    </row>
    <row r="633">
      <c r="A633" s="1"/>
      <c r="B633" s="1"/>
      <c r="D633" s="15"/>
      <c r="H633" s="8" t="s">
        <v>42</v>
      </c>
      <c r="I633" s="8" t="s">
        <v>42</v>
      </c>
    </row>
    <row r="634">
      <c r="A634" s="1"/>
      <c r="B634" s="1"/>
      <c r="D634" s="15"/>
      <c r="H634" s="8" t="s">
        <v>42</v>
      </c>
      <c r="I634" s="8" t="s">
        <v>42</v>
      </c>
    </row>
    <row r="635">
      <c r="A635" s="1"/>
      <c r="B635" s="1"/>
      <c r="D635" s="15"/>
      <c r="H635" s="8" t="s">
        <v>42</v>
      </c>
      <c r="I635" s="8" t="s">
        <v>42</v>
      </c>
    </row>
    <row r="636">
      <c r="A636" s="1"/>
      <c r="B636" s="1"/>
      <c r="D636" s="15"/>
      <c r="H636" s="8" t="s">
        <v>42</v>
      </c>
      <c r="I636" s="8" t="s">
        <v>42</v>
      </c>
    </row>
    <row r="637">
      <c r="A637" s="1"/>
      <c r="B637" s="1"/>
      <c r="D637" s="15"/>
      <c r="H637" s="8" t="s">
        <v>42</v>
      </c>
      <c r="I637" s="8" t="s">
        <v>42</v>
      </c>
    </row>
    <row r="638">
      <c r="A638" s="1"/>
      <c r="B638" s="1"/>
      <c r="D638" s="15"/>
      <c r="H638" s="8" t="s">
        <v>42</v>
      </c>
      <c r="I638" s="8" t="s">
        <v>42</v>
      </c>
    </row>
    <row r="639">
      <c r="A639" s="1"/>
      <c r="B639" s="1"/>
      <c r="D639" s="15"/>
      <c r="H639" s="8" t="s">
        <v>42</v>
      </c>
      <c r="I639" s="8" t="s">
        <v>42</v>
      </c>
    </row>
    <row r="640">
      <c r="A640" s="1"/>
      <c r="B640" s="1"/>
      <c r="D640" s="15"/>
      <c r="H640" s="8" t="s">
        <v>42</v>
      </c>
      <c r="I640" s="8" t="s">
        <v>42</v>
      </c>
    </row>
    <row r="641">
      <c r="A641" s="1"/>
      <c r="B641" s="1"/>
      <c r="D641" s="15"/>
      <c r="H641" s="8" t="s">
        <v>42</v>
      </c>
      <c r="I641" s="8" t="s">
        <v>42</v>
      </c>
    </row>
    <row r="642">
      <c r="A642" s="1"/>
      <c r="B642" s="1"/>
      <c r="D642" s="15"/>
      <c r="H642" s="8" t="s">
        <v>42</v>
      </c>
      <c r="I642" s="8" t="s">
        <v>42</v>
      </c>
    </row>
    <row r="643">
      <c r="A643" s="1"/>
      <c r="B643" s="1"/>
      <c r="D643" s="15"/>
      <c r="H643" s="8" t="s">
        <v>42</v>
      </c>
      <c r="I643" s="8" t="s">
        <v>42</v>
      </c>
    </row>
    <row r="644">
      <c r="A644" s="1"/>
      <c r="B644" s="1"/>
      <c r="D644" s="15"/>
      <c r="H644" s="8" t="s">
        <v>42</v>
      </c>
      <c r="I644" s="8" t="s">
        <v>42</v>
      </c>
    </row>
    <row r="645">
      <c r="A645" s="1"/>
      <c r="B645" s="1"/>
      <c r="D645" s="15"/>
      <c r="H645" s="8" t="s">
        <v>42</v>
      </c>
      <c r="I645" s="8" t="s">
        <v>42</v>
      </c>
    </row>
    <row r="646">
      <c r="A646" s="1"/>
      <c r="B646" s="1"/>
      <c r="D646" s="15"/>
      <c r="H646" s="8" t="s">
        <v>42</v>
      </c>
      <c r="I646" s="8" t="s">
        <v>42</v>
      </c>
    </row>
    <row r="647">
      <c r="A647" s="1"/>
      <c r="B647" s="1"/>
      <c r="D647" s="15"/>
      <c r="H647" s="8" t="s">
        <v>42</v>
      </c>
      <c r="I647" s="8" t="s">
        <v>42</v>
      </c>
    </row>
    <row r="648">
      <c r="A648" s="1"/>
      <c r="B648" s="1"/>
      <c r="D648" s="15"/>
      <c r="H648" s="8" t="s">
        <v>42</v>
      </c>
      <c r="I648" s="8" t="s">
        <v>42</v>
      </c>
    </row>
    <row r="649">
      <c r="A649" s="1"/>
      <c r="B649" s="1"/>
      <c r="D649" s="15"/>
      <c r="H649" s="8" t="s">
        <v>42</v>
      </c>
      <c r="I649" s="8" t="s">
        <v>42</v>
      </c>
    </row>
    <row r="650">
      <c r="A650" s="1"/>
      <c r="B650" s="1"/>
      <c r="D650" s="15"/>
      <c r="H650" s="8" t="s">
        <v>42</v>
      </c>
      <c r="I650" s="8" t="s">
        <v>42</v>
      </c>
    </row>
    <row r="651">
      <c r="A651" s="1"/>
      <c r="B651" s="1"/>
      <c r="D651" s="15"/>
      <c r="H651" s="8" t="s">
        <v>42</v>
      </c>
      <c r="I651" s="8" t="s">
        <v>42</v>
      </c>
    </row>
    <row r="652">
      <c r="A652" s="1"/>
      <c r="B652" s="1"/>
      <c r="D652" s="15"/>
      <c r="H652" s="8" t="s">
        <v>42</v>
      </c>
      <c r="I652" s="8" t="s">
        <v>42</v>
      </c>
    </row>
    <row r="653">
      <c r="A653" s="1"/>
      <c r="B653" s="1"/>
      <c r="D653" s="15"/>
      <c r="H653" s="8" t="s">
        <v>42</v>
      </c>
      <c r="I653" s="8" t="s">
        <v>42</v>
      </c>
    </row>
    <row r="654">
      <c r="A654" s="1"/>
      <c r="B654" s="1"/>
      <c r="D654" s="15"/>
      <c r="H654" s="8" t="s">
        <v>42</v>
      </c>
      <c r="I654" s="8" t="s">
        <v>42</v>
      </c>
    </row>
    <row r="655">
      <c r="A655" s="1"/>
      <c r="B655" s="1"/>
      <c r="D655" s="15"/>
      <c r="H655" s="8" t="s">
        <v>42</v>
      </c>
      <c r="I655" s="8" t="s">
        <v>42</v>
      </c>
    </row>
    <row r="656">
      <c r="A656" s="1"/>
      <c r="B656" s="1"/>
      <c r="D656" s="15"/>
      <c r="H656" s="8" t="s">
        <v>42</v>
      </c>
      <c r="I656" s="8" t="s">
        <v>42</v>
      </c>
    </row>
    <row r="657">
      <c r="A657" s="1"/>
      <c r="B657" s="1"/>
      <c r="D657" s="15"/>
      <c r="H657" s="8" t="s">
        <v>42</v>
      </c>
      <c r="I657" s="8" t="s">
        <v>42</v>
      </c>
    </row>
    <row r="658">
      <c r="A658" s="1"/>
      <c r="B658" s="1"/>
      <c r="D658" s="15"/>
      <c r="H658" s="8" t="s">
        <v>42</v>
      </c>
      <c r="I658" s="8" t="s">
        <v>42</v>
      </c>
    </row>
    <row r="659">
      <c r="A659" s="1"/>
      <c r="B659" s="1"/>
      <c r="D659" s="15"/>
      <c r="H659" s="8" t="s">
        <v>42</v>
      </c>
      <c r="I659" s="8" t="s">
        <v>42</v>
      </c>
    </row>
    <row r="660">
      <c r="A660" s="1"/>
      <c r="B660" s="1"/>
      <c r="D660" s="15"/>
      <c r="H660" s="8" t="s">
        <v>42</v>
      </c>
      <c r="I660" s="8" t="s">
        <v>42</v>
      </c>
    </row>
    <row r="661">
      <c r="A661" s="1"/>
      <c r="B661" s="1"/>
      <c r="D661" s="15"/>
      <c r="H661" s="8" t="s">
        <v>42</v>
      </c>
      <c r="I661" s="8" t="s">
        <v>42</v>
      </c>
    </row>
    <row r="662">
      <c r="A662" s="1"/>
      <c r="B662" s="1"/>
      <c r="D662" s="15"/>
      <c r="H662" s="8" t="s">
        <v>42</v>
      </c>
      <c r="I662" s="8" t="s">
        <v>42</v>
      </c>
    </row>
    <row r="663">
      <c r="A663" s="1"/>
      <c r="B663" s="1"/>
      <c r="D663" s="15"/>
      <c r="H663" s="8" t="s">
        <v>42</v>
      </c>
      <c r="I663" s="8" t="s">
        <v>42</v>
      </c>
    </row>
    <row r="664">
      <c r="A664" s="1"/>
      <c r="B664" s="1"/>
      <c r="D664" s="15"/>
      <c r="H664" s="8" t="s">
        <v>42</v>
      </c>
      <c r="I664" s="8" t="s">
        <v>42</v>
      </c>
    </row>
    <row r="665">
      <c r="A665" s="1"/>
      <c r="B665" s="1"/>
      <c r="D665" s="15"/>
      <c r="H665" s="8" t="s">
        <v>42</v>
      </c>
      <c r="I665" s="8" t="s">
        <v>42</v>
      </c>
    </row>
    <row r="666">
      <c r="A666" s="1"/>
      <c r="B666" s="1"/>
      <c r="D666" s="15"/>
      <c r="H666" s="8" t="s">
        <v>42</v>
      </c>
      <c r="I666" s="8" t="s">
        <v>42</v>
      </c>
    </row>
    <row r="667">
      <c r="A667" s="1"/>
      <c r="B667" s="1"/>
      <c r="D667" s="15"/>
      <c r="H667" s="8" t="s">
        <v>42</v>
      </c>
      <c r="I667" s="8" t="s">
        <v>42</v>
      </c>
    </row>
    <row r="668">
      <c r="A668" s="1"/>
      <c r="B668" s="1"/>
      <c r="D668" s="15"/>
      <c r="H668" s="8" t="s">
        <v>42</v>
      </c>
      <c r="I668" s="8" t="s">
        <v>42</v>
      </c>
    </row>
    <row r="669">
      <c r="A669" s="1"/>
      <c r="B669" s="1"/>
      <c r="D669" s="15"/>
      <c r="H669" s="8" t="s">
        <v>42</v>
      </c>
      <c r="I669" s="8" t="s">
        <v>42</v>
      </c>
    </row>
    <row r="670">
      <c r="A670" s="1"/>
      <c r="B670" s="1"/>
      <c r="D670" s="15"/>
      <c r="H670" s="8" t="s">
        <v>42</v>
      </c>
      <c r="I670" s="8" t="s">
        <v>42</v>
      </c>
    </row>
    <row r="671">
      <c r="A671" s="1"/>
      <c r="B671" s="1"/>
      <c r="D671" s="15"/>
      <c r="H671" s="8" t="s">
        <v>42</v>
      </c>
      <c r="I671" s="8" t="s">
        <v>42</v>
      </c>
    </row>
    <row r="672">
      <c r="A672" s="1"/>
      <c r="B672" s="1"/>
      <c r="D672" s="15"/>
      <c r="H672" s="8" t="s">
        <v>42</v>
      </c>
      <c r="I672" s="8" t="s">
        <v>42</v>
      </c>
    </row>
    <row r="673">
      <c r="A673" s="1"/>
      <c r="B673" s="1"/>
      <c r="D673" s="15"/>
      <c r="H673" s="8" t="s">
        <v>42</v>
      </c>
      <c r="I673" s="8" t="s">
        <v>42</v>
      </c>
    </row>
    <row r="674">
      <c r="A674" s="1"/>
      <c r="B674" s="1"/>
      <c r="D674" s="15"/>
      <c r="H674" s="8" t="s">
        <v>42</v>
      </c>
      <c r="I674" s="8" t="s">
        <v>42</v>
      </c>
    </row>
    <row r="675">
      <c r="A675" s="1"/>
      <c r="B675" s="1"/>
      <c r="D675" s="15"/>
      <c r="H675" s="8" t="s">
        <v>42</v>
      </c>
      <c r="I675" s="8" t="s">
        <v>42</v>
      </c>
    </row>
    <row r="676">
      <c r="A676" s="1"/>
      <c r="B676" s="1"/>
      <c r="D676" s="15"/>
      <c r="H676" s="8" t="s">
        <v>42</v>
      </c>
      <c r="I676" s="8" t="s">
        <v>42</v>
      </c>
    </row>
    <row r="677">
      <c r="A677" s="1"/>
      <c r="B677" s="1"/>
      <c r="D677" s="15"/>
      <c r="H677" s="8" t="s">
        <v>42</v>
      </c>
      <c r="I677" s="8" t="s">
        <v>42</v>
      </c>
    </row>
    <row r="678">
      <c r="A678" s="1"/>
      <c r="B678" s="1"/>
      <c r="D678" s="15"/>
      <c r="H678" s="8" t="s">
        <v>42</v>
      </c>
      <c r="I678" s="8" t="s">
        <v>42</v>
      </c>
    </row>
    <row r="679">
      <c r="A679" s="1"/>
      <c r="B679" s="1"/>
      <c r="D679" s="15"/>
      <c r="H679" s="8" t="s">
        <v>42</v>
      </c>
      <c r="I679" s="8" t="s">
        <v>42</v>
      </c>
    </row>
    <row r="680">
      <c r="A680" s="1"/>
      <c r="B680" s="1"/>
      <c r="D680" s="15"/>
      <c r="H680" s="8" t="s">
        <v>42</v>
      </c>
      <c r="I680" s="8" t="s">
        <v>42</v>
      </c>
    </row>
    <row r="681">
      <c r="A681" s="1"/>
      <c r="B681" s="1"/>
      <c r="D681" s="15"/>
      <c r="H681" s="8" t="s">
        <v>42</v>
      </c>
      <c r="I681" s="8" t="s">
        <v>42</v>
      </c>
    </row>
    <row r="682">
      <c r="A682" s="1"/>
      <c r="B682" s="1"/>
      <c r="D682" s="15"/>
      <c r="H682" s="8" t="s">
        <v>42</v>
      </c>
      <c r="I682" s="8" t="s">
        <v>42</v>
      </c>
    </row>
    <row r="683">
      <c r="A683" s="1"/>
      <c r="B683" s="1"/>
      <c r="D683" s="15"/>
      <c r="H683" s="8" t="s">
        <v>42</v>
      </c>
      <c r="I683" s="8" t="s">
        <v>42</v>
      </c>
    </row>
    <row r="684">
      <c r="A684" s="1"/>
      <c r="B684" s="1"/>
      <c r="D684" s="15"/>
      <c r="H684" s="8" t="s">
        <v>42</v>
      </c>
      <c r="I684" s="8" t="s">
        <v>42</v>
      </c>
    </row>
    <row r="685">
      <c r="A685" s="1"/>
      <c r="B685" s="1"/>
      <c r="D685" s="15"/>
      <c r="H685" s="8" t="s">
        <v>42</v>
      </c>
      <c r="I685" s="8" t="s">
        <v>42</v>
      </c>
    </row>
    <row r="686">
      <c r="A686" s="1"/>
      <c r="B686" s="1"/>
      <c r="D686" s="15"/>
      <c r="H686" s="8" t="s">
        <v>42</v>
      </c>
      <c r="I686" s="8" t="s">
        <v>42</v>
      </c>
    </row>
    <row r="687">
      <c r="A687" s="1"/>
      <c r="B687" s="1"/>
      <c r="D687" s="15"/>
      <c r="H687" s="8" t="s">
        <v>42</v>
      </c>
      <c r="I687" s="8" t="s">
        <v>42</v>
      </c>
    </row>
    <row r="688">
      <c r="A688" s="1"/>
      <c r="B688" s="1"/>
      <c r="D688" s="15"/>
      <c r="H688" s="8" t="s">
        <v>42</v>
      </c>
      <c r="I688" s="8" t="s">
        <v>42</v>
      </c>
    </row>
    <row r="689">
      <c r="A689" s="1"/>
      <c r="B689" s="1"/>
      <c r="D689" s="15"/>
      <c r="H689" s="8" t="s">
        <v>42</v>
      </c>
      <c r="I689" s="8" t="s">
        <v>42</v>
      </c>
    </row>
    <row r="690">
      <c r="A690" s="1"/>
      <c r="B690" s="1"/>
      <c r="D690" s="15"/>
      <c r="H690" s="8" t="s">
        <v>42</v>
      </c>
      <c r="I690" s="8" t="s">
        <v>42</v>
      </c>
    </row>
    <row r="691">
      <c r="A691" s="1"/>
      <c r="B691" s="1"/>
      <c r="D691" s="15"/>
      <c r="H691" s="8" t="s">
        <v>42</v>
      </c>
      <c r="I691" s="8" t="s">
        <v>42</v>
      </c>
    </row>
    <row r="692">
      <c r="A692" s="1"/>
      <c r="B692" s="1"/>
      <c r="D692" s="15"/>
      <c r="H692" s="8" t="s">
        <v>42</v>
      </c>
      <c r="I692" s="8" t="s">
        <v>42</v>
      </c>
    </row>
    <row r="693">
      <c r="A693" s="1"/>
      <c r="B693" s="1"/>
      <c r="D693" s="15"/>
      <c r="H693" s="8" t="s">
        <v>42</v>
      </c>
      <c r="I693" s="8" t="s">
        <v>42</v>
      </c>
    </row>
    <row r="694">
      <c r="A694" s="1"/>
      <c r="B694" s="1"/>
      <c r="D694" s="15"/>
      <c r="H694" s="8" t="s">
        <v>42</v>
      </c>
      <c r="I694" s="8" t="s">
        <v>42</v>
      </c>
    </row>
    <row r="695">
      <c r="A695" s="1"/>
      <c r="B695" s="1"/>
      <c r="D695" s="15"/>
      <c r="H695" s="8" t="s">
        <v>42</v>
      </c>
      <c r="I695" s="8" t="s">
        <v>42</v>
      </c>
    </row>
    <row r="696">
      <c r="A696" s="1"/>
      <c r="B696" s="1"/>
      <c r="D696" s="15"/>
      <c r="H696" s="8" t="s">
        <v>42</v>
      </c>
      <c r="I696" s="8" t="s">
        <v>42</v>
      </c>
    </row>
    <row r="697">
      <c r="A697" s="1"/>
      <c r="B697" s="1"/>
      <c r="D697" s="15"/>
      <c r="H697" s="8" t="s">
        <v>42</v>
      </c>
      <c r="I697" s="8" t="s">
        <v>42</v>
      </c>
    </row>
    <row r="698">
      <c r="A698" s="1"/>
      <c r="B698" s="1"/>
      <c r="D698" s="15"/>
      <c r="H698" s="8" t="s">
        <v>42</v>
      </c>
      <c r="I698" s="8" t="s">
        <v>42</v>
      </c>
    </row>
    <row r="699">
      <c r="A699" s="1"/>
      <c r="B699" s="1"/>
      <c r="D699" s="15"/>
      <c r="H699" s="8" t="s">
        <v>42</v>
      </c>
      <c r="I699" s="8" t="s">
        <v>42</v>
      </c>
    </row>
    <row r="700">
      <c r="A700" s="1"/>
      <c r="B700" s="1"/>
      <c r="D700" s="15"/>
      <c r="H700" s="8" t="s">
        <v>42</v>
      </c>
      <c r="I700" s="8" t="s">
        <v>42</v>
      </c>
    </row>
    <row r="701">
      <c r="A701" s="1"/>
      <c r="B701" s="1"/>
      <c r="D701" s="15"/>
      <c r="H701" s="8" t="s">
        <v>42</v>
      </c>
      <c r="I701" s="8" t="s">
        <v>42</v>
      </c>
    </row>
    <row r="702">
      <c r="A702" s="1"/>
      <c r="B702" s="1"/>
      <c r="D702" s="15"/>
      <c r="H702" s="8" t="s">
        <v>42</v>
      </c>
      <c r="I702" s="8" t="s">
        <v>42</v>
      </c>
    </row>
    <row r="703">
      <c r="A703" s="1"/>
      <c r="B703" s="1"/>
      <c r="D703" s="15"/>
      <c r="H703" s="8" t="s">
        <v>42</v>
      </c>
      <c r="I703" s="8" t="s">
        <v>42</v>
      </c>
    </row>
    <row r="704">
      <c r="A704" s="1"/>
      <c r="B704" s="1"/>
      <c r="D704" s="15"/>
      <c r="H704" s="8" t="s">
        <v>42</v>
      </c>
      <c r="I704" s="8" t="s">
        <v>42</v>
      </c>
    </row>
    <row r="705">
      <c r="A705" s="1"/>
      <c r="B705" s="1"/>
      <c r="D705" s="15"/>
      <c r="H705" s="8" t="s">
        <v>42</v>
      </c>
      <c r="I705" s="8" t="s">
        <v>42</v>
      </c>
    </row>
    <row r="706">
      <c r="A706" s="1"/>
      <c r="B706" s="1"/>
      <c r="D706" s="15"/>
      <c r="H706" s="8" t="s">
        <v>42</v>
      </c>
      <c r="I706" s="8" t="s">
        <v>42</v>
      </c>
    </row>
    <row r="707">
      <c r="A707" s="1"/>
      <c r="B707" s="1"/>
      <c r="D707" s="15"/>
      <c r="H707" s="8" t="s">
        <v>42</v>
      </c>
      <c r="I707" s="8" t="s">
        <v>42</v>
      </c>
    </row>
    <row r="708">
      <c r="A708" s="1"/>
      <c r="B708" s="1"/>
      <c r="D708" s="15"/>
      <c r="H708" s="8" t="s">
        <v>42</v>
      </c>
      <c r="I708" s="8" t="s">
        <v>42</v>
      </c>
    </row>
    <row r="709">
      <c r="A709" s="1"/>
      <c r="B709" s="1"/>
      <c r="D709" s="15"/>
      <c r="H709" s="8" t="s">
        <v>42</v>
      </c>
      <c r="I709" s="8" t="s">
        <v>42</v>
      </c>
    </row>
    <row r="710">
      <c r="A710" s="1"/>
      <c r="B710" s="1"/>
      <c r="D710" s="15"/>
      <c r="H710" s="8" t="s">
        <v>42</v>
      </c>
      <c r="I710" s="8" t="s">
        <v>42</v>
      </c>
    </row>
    <row r="711">
      <c r="A711" s="1"/>
      <c r="B711" s="1"/>
      <c r="D711" s="15"/>
      <c r="H711" s="8" t="s">
        <v>42</v>
      </c>
      <c r="I711" s="8" t="s">
        <v>42</v>
      </c>
    </row>
    <row r="712">
      <c r="A712" s="1"/>
      <c r="B712" s="1"/>
      <c r="D712" s="15"/>
      <c r="H712" s="8" t="s">
        <v>42</v>
      </c>
      <c r="I712" s="8" t="s">
        <v>42</v>
      </c>
    </row>
    <row r="713">
      <c r="A713" s="1"/>
      <c r="B713" s="1"/>
      <c r="D713" s="15"/>
      <c r="H713" s="8" t="s">
        <v>42</v>
      </c>
      <c r="I713" s="8" t="s">
        <v>42</v>
      </c>
    </row>
    <row r="714">
      <c r="A714" s="1"/>
      <c r="B714" s="1"/>
      <c r="D714" s="15"/>
      <c r="H714" s="8" t="s">
        <v>42</v>
      </c>
      <c r="I714" s="8" t="s">
        <v>42</v>
      </c>
    </row>
    <row r="715">
      <c r="A715" s="1"/>
      <c r="B715" s="1"/>
      <c r="D715" s="15"/>
      <c r="H715" s="8" t="s">
        <v>42</v>
      </c>
      <c r="I715" s="8" t="s">
        <v>42</v>
      </c>
    </row>
    <row r="716">
      <c r="A716" s="1"/>
      <c r="B716" s="1"/>
      <c r="D716" s="15"/>
      <c r="H716" s="8" t="s">
        <v>42</v>
      </c>
      <c r="I716" s="8" t="s">
        <v>42</v>
      </c>
    </row>
    <row r="717">
      <c r="A717" s="1"/>
      <c r="B717" s="1"/>
      <c r="D717" s="15"/>
      <c r="H717" s="8" t="s">
        <v>42</v>
      </c>
      <c r="I717" s="8" t="s">
        <v>42</v>
      </c>
    </row>
    <row r="718">
      <c r="A718" s="1"/>
      <c r="B718" s="1"/>
      <c r="D718" s="15"/>
      <c r="H718" s="8" t="s">
        <v>42</v>
      </c>
      <c r="I718" s="8" t="s">
        <v>42</v>
      </c>
    </row>
    <row r="719">
      <c r="A719" s="1"/>
      <c r="B719" s="1"/>
      <c r="D719" s="15"/>
      <c r="H719" s="8" t="s">
        <v>42</v>
      </c>
      <c r="I719" s="8" t="s">
        <v>42</v>
      </c>
    </row>
    <row r="720">
      <c r="A720" s="1"/>
      <c r="B720" s="1"/>
      <c r="D720" s="15"/>
      <c r="H720" s="8" t="s">
        <v>42</v>
      </c>
      <c r="I720" s="8" t="s">
        <v>42</v>
      </c>
    </row>
    <row r="721">
      <c r="A721" s="1"/>
      <c r="B721" s="1"/>
      <c r="D721" s="15"/>
      <c r="H721" s="8" t="s">
        <v>42</v>
      </c>
      <c r="I721" s="8" t="s">
        <v>42</v>
      </c>
    </row>
    <row r="722">
      <c r="A722" s="1"/>
      <c r="B722" s="1"/>
      <c r="D722" s="15"/>
      <c r="H722" s="8" t="s">
        <v>42</v>
      </c>
      <c r="I722" s="8" t="s">
        <v>42</v>
      </c>
    </row>
    <row r="723">
      <c r="A723" s="1"/>
      <c r="B723" s="1"/>
      <c r="D723" s="15"/>
      <c r="H723" s="8" t="s">
        <v>42</v>
      </c>
      <c r="I723" s="8" t="s">
        <v>42</v>
      </c>
    </row>
    <row r="724">
      <c r="A724" s="1"/>
      <c r="B724" s="1"/>
      <c r="D724" s="15"/>
      <c r="H724" s="8" t="s">
        <v>42</v>
      </c>
      <c r="I724" s="8" t="s">
        <v>42</v>
      </c>
    </row>
    <row r="725">
      <c r="A725" s="1"/>
      <c r="B725" s="1"/>
      <c r="D725" s="15"/>
      <c r="H725" s="8" t="s">
        <v>42</v>
      </c>
      <c r="I725" s="8" t="s">
        <v>42</v>
      </c>
    </row>
    <row r="726">
      <c r="A726" s="1"/>
      <c r="B726" s="1"/>
      <c r="D726" s="15"/>
      <c r="H726" s="8" t="s">
        <v>42</v>
      </c>
      <c r="I726" s="8" t="s">
        <v>42</v>
      </c>
    </row>
    <row r="727">
      <c r="A727" s="1"/>
      <c r="B727" s="1"/>
      <c r="D727" s="15"/>
      <c r="H727" s="8" t="s">
        <v>42</v>
      </c>
      <c r="I727" s="8" t="s">
        <v>42</v>
      </c>
    </row>
    <row r="728">
      <c r="A728" s="1"/>
      <c r="B728" s="1"/>
      <c r="D728" s="15"/>
      <c r="H728" s="8" t="s">
        <v>42</v>
      </c>
      <c r="I728" s="8" t="s">
        <v>42</v>
      </c>
    </row>
    <row r="729">
      <c r="A729" s="1"/>
      <c r="B729" s="1"/>
      <c r="D729" s="15"/>
      <c r="H729" s="8" t="s">
        <v>42</v>
      </c>
      <c r="I729" s="8" t="s">
        <v>42</v>
      </c>
    </row>
    <row r="730">
      <c r="A730" s="1"/>
      <c r="B730" s="1"/>
      <c r="D730" s="15"/>
      <c r="H730" s="8" t="s">
        <v>42</v>
      </c>
      <c r="I730" s="8" t="s">
        <v>42</v>
      </c>
    </row>
    <row r="731">
      <c r="A731" s="1"/>
      <c r="B731" s="1"/>
      <c r="D731" s="15"/>
      <c r="H731" s="8" t="s">
        <v>42</v>
      </c>
      <c r="I731" s="8" t="s">
        <v>42</v>
      </c>
    </row>
    <row r="732">
      <c r="A732" s="1"/>
      <c r="B732" s="1"/>
      <c r="D732" s="15"/>
      <c r="H732" s="8" t="s">
        <v>42</v>
      </c>
      <c r="I732" s="8" t="s">
        <v>42</v>
      </c>
    </row>
    <row r="733">
      <c r="A733" s="1"/>
      <c r="B733" s="1"/>
      <c r="D733" s="15"/>
      <c r="H733" s="8" t="s">
        <v>42</v>
      </c>
      <c r="I733" s="8" t="s">
        <v>42</v>
      </c>
    </row>
    <row r="734">
      <c r="A734" s="1"/>
      <c r="B734" s="1"/>
      <c r="D734" s="15"/>
      <c r="H734" s="8" t="s">
        <v>42</v>
      </c>
      <c r="I734" s="8" t="s">
        <v>42</v>
      </c>
    </row>
    <row r="735">
      <c r="A735" s="1"/>
      <c r="B735" s="1"/>
      <c r="D735" s="15"/>
      <c r="H735" s="8" t="s">
        <v>42</v>
      </c>
      <c r="I735" s="8" t="s">
        <v>42</v>
      </c>
    </row>
    <row r="736">
      <c r="A736" s="1"/>
      <c r="B736" s="1"/>
      <c r="D736" s="15"/>
      <c r="H736" s="8" t="s">
        <v>42</v>
      </c>
      <c r="I736" s="8" t="s">
        <v>42</v>
      </c>
    </row>
    <row r="737">
      <c r="A737" s="1"/>
      <c r="B737" s="1"/>
      <c r="D737" s="15"/>
      <c r="H737" s="8" t="s">
        <v>42</v>
      </c>
      <c r="I737" s="8" t="s">
        <v>42</v>
      </c>
    </row>
    <row r="738">
      <c r="A738" s="1"/>
      <c r="B738" s="1"/>
      <c r="D738" s="15"/>
      <c r="H738" s="8" t="s">
        <v>42</v>
      </c>
      <c r="I738" s="8" t="s">
        <v>42</v>
      </c>
    </row>
    <row r="739">
      <c r="A739" s="1"/>
      <c r="B739" s="1"/>
      <c r="D739" s="15"/>
      <c r="H739" s="8" t="s">
        <v>42</v>
      </c>
      <c r="I739" s="8" t="s">
        <v>42</v>
      </c>
    </row>
    <row r="740">
      <c r="A740" s="1"/>
      <c r="B740" s="1"/>
      <c r="D740" s="15"/>
      <c r="H740" s="8" t="s">
        <v>42</v>
      </c>
      <c r="I740" s="8" t="s">
        <v>42</v>
      </c>
    </row>
    <row r="741">
      <c r="A741" s="1"/>
      <c r="B741" s="1"/>
      <c r="D741" s="15"/>
      <c r="H741" s="8" t="s">
        <v>42</v>
      </c>
      <c r="I741" s="8" t="s">
        <v>42</v>
      </c>
    </row>
    <row r="742">
      <c r="A742" s="1"/>
      <c r="B742" s="1"/>
      <c r="D742" s="15"/>
      <c r="H742" s="8" t="s">
        <v>42</v>
      </c>
      <c r="I742" s="8" t="s">
        <v>42</v>
      </c>
    </row>
    <row r="743">
      <c r="A743" s="1"/>
      <c r="B743" s="1"/>
      <c r="D743" s="15"/>
      <c r="H743" s="8" t="s">
        <v>42</v>
      </c>
      <c r="I743" s="8" t="s">
        <v>42</v>
      </c>
    </row>
    <row r="744">
      <c r="A744" s="1"/>
      <c r="B744" s="1"/>
      <c r="D744" s="15"/>
      <c r="H744" s="8" t="s">
        <v>42</v>
      </c>
      <c r="I744" s="8" t="s">
        <v>42</v>
      </c>
    </row>
    <row r="745">
      <c r="A745" s="1"/>
      <c r="B745" s="1"/>
      <c r="D745" s="15"/>
      <c r="H745" s="8" t="s">
        <v>42</v>
      </c>
      <c r="I745" s="8" t="s">
        <v>42</v>
      </c>
    </row>
    <row r="746">
      <c r="A746" s="1"/>
      <c r="B746" s="1"/>
      <c r="D746" s="15"/>
      <c r="H746" s="8" t="s">
        <v>42</v>
      </c>
      <c r="I746" s="8" t="s">
        <v>42</v>
      </c>
    </row>
    <row r="747">
      <c r="A747" s="1"/>
      <c r="B747" s="1"/>
      <c r="D747" s="15"/>
      <c r="H747" s="8" t="s">
        <v>42</v>
      </c>
      <c r="I747" s="8" t="s">
        <v>42</v>
      </c>
    </row>
    <row r="748">
      <c r="A748" s="1"/>
      <c r="B748" s="1"/>
      <c r="D748" s="15"/>
      <c r="H748" s="8" t="s">
        <v>42</v>
      </c>
      <c r="I748" s="8" t="s">
        <v>42</v>
      </c>
    </row>
    <row r="749">
      <c r="A749" s="1"/>
      <c r="B749" s="1"/>
      <c r="D749" s="15"/>
      <c r="H749" s="8" t="s">
        <v>42</v>
      </c>
      <c r="I749" s="8" t="s">
        <v>42</v>
      </c>
    </row>
    <row r="750">
      <c r="A750" s="1"/>
      <c r="B750" s="1"/>
      <c r="D750" s="15"/>
      <c r="H750" s="8" t="s">
        <v>42</v>
      </c>
      <c r="I750" s="8" t="s">
        <v>42</v>
      </c>
    </row>
    <row r="751">
      <c r="A751" s="1"/>
      <c r="B751" s="1"/>
      <c r="D751" s="15"/>
      <c r="H751" s="8" t="s">
        <v>42</v>
      </c>
      <c r="I751" s="8" t="s">
        <v>42</v>
      </c>
    </row>
    <row r="752">
      <c r="A752" s="1"/>
      <c r="B752" s="1"/>
      <c r="D752" s="15"/>
      <c r="H752" s="8" t="s">
        <v>42</v>
      </c>
      <c r="I752" s="8" t="s">
        <v>42</v>
      </c>
    </row>
    <row r="753">
      <c r="A753" s="1"/>
      <c r="B753" s="1"/>
      <c r="D753" s="15"/>
      <c r="H753" s="8" t="s">
        <v>42</v>
      </c>
      <c r="I753" s="8" t="s">
        <v>42</v>
      </c>
    </row>
    <row r="754">
      <c r="A754" s="1"/>
      <c r="B754" s="1"/>
      <c r="D754" s="15"/>
      <c r="H754" s="8" t="s">
        <v>42</v>
      </c>
      <c r="I754" s="8" t="s">
        <v>42</v>
      </c>
    </row>
    <row r="755">
      <c r="A755" s="1"/>
      <c r="B755" s="1"/>
      <c r="D755" s="15"/>
      <c r="H755" s="8" t="s">
        <v>42</v>
      </c>
      <c r="I755" s="8" t="s">
        <v>42</v>
      </c>
    </row>
    <row r="756">
      <c r="A756" s="1"/>
      <c r="B756" s="1"/>
      <c r="D756" s="15"/>
      <c r="H756" s="8" t="s">
        <v>42</v>
      </c>
      <c r="I756" s="8" t="s">
        <v>42</v>
      </c>
    </row>
    <row r="757">
      <c r="A757" s="1"/>
      <c r="B757" s="1"/>
      <c r="D757" s="15"/>
      <c r="H757" s="8" t="s">
        <v>42</v>
      </c>
      <c r="I757" s="8" t="s">
        <v>42</v>
      </c>
    </row>
    <row r="758">
      <c r="A758" s="1"/>
      <c r="B758" s="1"/>
      <c r="D758" s="15"/>
      <c r="H758" s="8" t="s">
        <v>42</v>
      </c>
      <c r="I758" s="8" t="s">
        <v>42</v>
      </c>
    </row>
    <row r="759">
      <c r="A759" s="1"/>
      <c r="B759" s="1"/>
      <c r="D759" s="15"/>
      <c r="H759" s="8" t="s">
        <v>42</v>
      </c>
      <c r="I759" s="8" t="s">
        <v>42</v>
      </c>
    </row>
    <row r="760">
      <c r="A760" s="1"/>
      <c r="B760" s="1"/>
      <c r="D760" s="15"/>
      <c r="H760" s="8" t="s">
        <v>42</v>
      </c>
      <c r="I760" s="8" t="s">
        <v>42</v>
      </c>
    </row>
    <row r="761">
      <c r="A761" s="1"/>
      <c r="B761" s="1"/>
      <c r="D761" s="15"/>
      <c r="H761" s="8" t="s">
        <v>42</v>
      </c>
      <c r="I761" s="8" t="s">
        <v>42</v>
      </c>
    </row>
    <row r="762">
      <c r="A762" s="1"/>
      <c r="B762" s="1"/>
      <c r="D762" s="15"/>
      <c r="H762" s="8" t="s">
        <v>42</v>
      </c>
      <c r="I762" s="8" t="s">
        <v>42</v>
      </c>
    </row>
    <row r="763">
      <c r="A763" s="1"/>
      <c r="B763" s="1"/>
      <c r="D763" s="15"/>
      <c r="H763" s="8" t="s">
        <v>42</v>
      </c>
      <c r="I763" s="8" t="s">
        <v>42</v>
      </c>
    </row>
    <row r="764">
      <c r="A764" s="1"/>
      <c r="B764" s="1"/>
      <c r="D764" s="15"/>
      <c r="H764" s="8" t="s">
        <v>42</v>
      </c>
      <c r="I764" s="8" t="s">
        <v>42</v>
      </c>
    </row>
    <row r="765">
      <c r="A765" s="1"/>
      <c r="B765" s="1"/>
      <c r="D765" s="15"/>
      <c r="H765" s="8" t="s">
        <v>42</v>
      </c>
      <c r="I765" s="8" t="s">
        <v>42</v>
      </c>
    </row>
    <row r="766">
      <c r="A766" s="1"/>
      <c r="B766" s="1"/>
      <c r="D766" s="15"/>
      <c r="H766" s="8" t="s">
        <v>42</v>
      </c>
      <c r="I766" s="8" t="s">
        <v>42</v>
      </c>
    </row>
    <row r="767">
      <c r="A767" s="1"/>
      <c r="B767" s="1"/>
      <c r="D767" s="15"/>
      <c r="H767" s="8" t="s">
        <v>42</v>
      </c>
      <c r="I767" s="8" t="s">
        <v>42</v>
      </c>
    </row>
    <row r="768">
      <c r="A768" s="1"/>
      <c r="B768" s="1"/>
      <c r="D768" s="15"/>
      <c r="H768" s="8" t="s">
        <v>42</v>
      </c>
      <c r="I768" s="8" t="s">
        <v>42</v>
      </c>
    </row>
    <row r="769">
      <c r="A769" s="1"/>
      <c r="B769" s="1"/>
      <c r="D769" s="15"/>
      <c r="H769" s="8" t="s">
        <v>42</v>
      </c>
      <c r="I769" s="8" t="s">
        <v>42</v>
      </c>
    </row>
    <row r="770">
      <c r="A770" s="1"/>
      <c r="B770" s="1"/>
      <c r="D770" s="15"/>
      <c r="H770" s="8" t="s">
        <v>42</v>
      </c>
      <c r="I770" s="8" t="s">
        <v>42</v>
      </c>
    </row>
    <row r="771">
      <c r="A771" s="1"/>
      <c r="B771" s="1"/>
      <c r="D771" s="15"/>
      <c r="H771" s="8" t="s">
        <v>42</v>
      </c>
      <c r="I771" s="8" t="s">
        <v>42</v>
      </c>
    </row>
    <row r="772">
      <c r="A772" s="1"/>
      <c r="B772" s="1"/>
      <c r="D772" s="15"/>
      <c r="H772" s="8" t="s">
        <v>42</v>
      </c>
      <c r="I772" s="8" t="s">
        <v>42</v>
      </c>
    </row>
    <row r="773">
      <c r="A773" s="1"/>
      <c r="B773" s="1"/>
      <c r="D773" s="15"/>
      <c r="H773" s="8" t="s">
        <v>42</v>
      </c>
      <c r="I773" s="8" t="s">
        <v>42</v>
      </c>
    </row>
    <row r="774">
      <c r="A774" s="1"/>
      <c r="B774" s="1"/>
      <c r="D774" s="15"/>
      <c r="H774" s="8" t="s">
        <v>42</v>
      </c>
      <c r="I774" s="8" t="s">
        <v>42</v>
      </c>
    </row>
    <row r="775">
      <c r="A775" s="1"/>
      <c r="B775" s="1"/>
      <c r="D775" s="15"/>
      <c r="H775" s="8" t="s">
        <v>42</v>
      </c>
      <c r="I775" s="8" t="s">
        <v>42</v>
      </c>
    </row>
    <row r="776">
      <c r="A776" s="1"/>
      <c r="B776" s="1"/>
      <c r="D776" s="15"/>
      <c r="H776" s="8" t="s">
        <v>42</v>
      </c>
      <c r="I776" s="8" t="s">
        <v>42</v>
      </c>
    </row>
    <row r="777">
      <c r="A777" s="1"/>
      <c r="B777" s="1"/>
      <c r="D777" s="15"/>
      <c r="H777" s="8" t="s">
        <v>42</v>
      </c>
      <c r="I777" s="8" t="s">
        <v>42</v>
      </c>
    </row>
    <row r="778">
      <c r="A778" s="1"/>
      <c r="B778" s="1"/>
      <c r="D778" s="15"/>
      <c r="H778" s="8" t="s">
        <v>42</v>
      </c>
      <c r="I778" s="8" t="s">
        <v>42</v>
      </c>
    </row>
    <row r="779">
      <c r="A779" s="1"/>
      <c r="B779" s="1"/>
      <c r="D779" s="15"/>
      <c r="H779" s="8" t="s">
        <v>42</v>
      </c>
      <c r="I779" s="8" t="s">
        <v>42</v>
      </c>
    </row>
    <row r="780">
      <c r="A780" s="1"/>
      <c r="B780" s="1"/>
      <c r="D780" s="15"/>
      <c r="H780" s="8" t="s">
        <v>42</v>
      </c>
      <c r="I780" s="8" t="s">
        <v>42</v>
      </c>
    </row>
    <row r="781">
      <c r="A781" s="1"/>
      <c r="B781" s="1"/>
      <c r="D781" s="15"/>
      <c r="H781" s="8" t="s">
        <v>42</v>
      </c>
      <c r="I781" s="8" t="s">
        <v>42</v>
      </c>
    </row>
    <row r="782">
      <c r="A782" s="1"/>
      <c r="B782" s="1"/>
      <c r="D782" s="15"/>
      <c r="H782" s="8" t="s">
        <v>42</v>
      </c>
      <c r="I782" s="8" t="s">
        <v>42</v>
      </c>
    </row>
    <row r="783">
      <c r="A783" s="1"/>
      <c r="B783" s="1"/>
      <c r="D783" s="15"/>
      <c r="H783" s="8" t="s">
        <v>42</v>
      </c>
      <c r="I783" s="8" t="s">
        <v>42</v>
      </c>
    </row>
    <row r="784">
      <c r="A784" s="1"/>
      <c r="B784" s="1"/>
      <c r="D784" s="15"/>
      <c r="H784" s="8" t="s">
        <v>42</v>
      </c>
      <c r="I784" s="8" t="s">
        <v>42</v>
      </c>
    </row>
    <row r="785">
      <c r="A785" s="1"/>
      <c r="B785" s="1"/>
      <c r="D785" s="15"/>
      <c r="H785" s="8" t="s">
        <v>42</v>
      </c>
      <c r="I785" s="8" t="s">
        <v>42</v>
      </c>
    </row>
    <row r="786">
      <c r="A786" s="1"/>
      <c r="B786" s="1"/>
      <c r="D786" s="15"/>
      <c r="H786" s="8" t="s">
        <v>42</v>
      </c>
      <c r="I786" s="8" t="s">
        <v>42</v>
      </c>
    </row>
    <row r="787">
      <c r="A787" s="1"/>
      <c r="B787" s="1"/>
      <c r="D787" s="15"/>
      <c r="H787" s="8" t="s">
        <v>42</v>
      </c>
      <c r="I787" s="8" t="s">
        <v>42</v>
      </c>
    </row>
    <row r="788">
      <c r="A788" s="1"/>
      <c r="B788" s="1"/>
      <c r="D788" s="15"/>
      <c r="H788" s="8" t="s">
        <v>42</v>
      </c>
      <c r="I788" s="8" t="s">
        <v>42</v>
      </c>
    </row>
    <row r="789">
      <c r="A789" s="1"/>
      <c r="B789" s="1"/>
      <c r="D789" s="15"/>
      <c r="H789" s="8" t="s">
        <v>42</v>
      </c>
      <c r="I789" s="8" t="s">
        <v>42</v>
      </c>
    </row>
    <row r="790">
      <c r="A790" s="1"/>
      <c r="B790" s="1"/>
      <c r="D790" s="15"/>
      <c r="H790" s="8" t="s">
        <v>42</v>
      </c>
      <c r="I790" s="8" t="s">
        <v>42</v>
      </c>
    </row>
    <row r="791">
      <c r="A791" s="1"/>
      <c r="B791" s="1"/>
      <c r="D791" s="15"/>
      <c r="H791" s="8" t="s">
        <v>42</v>
      </c>
      <c r="I791" s="8" t="s">
        <v>42</v>
      </c>
    </row>
    <row r="792">
      <c r="A792" s="1"/>
      <c r="B792" s="1"/>
      <c r="D792" s="15"/>
      <c r="H792" s="8" t="s">
        <v>42</v>
      </c>
      <c r="I792" s="8" t="s">
        <v>42</v>
      </c>
    </row>
    <row r="793">
      <c r="A793" s="1"/>
      <c r="B793" s="1"/>
      <c r="D793" s="15"/>
      <c r="H793" s="8" t="s">
        <v>42</v>
      </c>
      <c r="I793" s="8" t="s">
        <v>42</v>
      </c>
    </row>
    <row r="794">
      <c r="A794" s="1"/>
      <c r="B794" s="1"/>
      <c r="D794" s="15"/>
      <c r="H794" s="8" t="s">
        <v>42</v>
      </c>
      <c r="I794" s="8" t="s">
        <v>42</v>
      </c>
    </row>
    <row r="795">
      <c r="A795" s="1"/>
      <c r="B795" s="1"/>
      <c r="D795" s="15"/>
      <c r="H795" s="8" t="s">
        <v>42</v>
      </c>
      <c r="I795" s="8" t="s">
        <v>42</v>
      </c>
    </row>
    <row r="796">
      <c r="A796" s="1"/>
      <c r="B796" s="1"/>
      <c r="D796" s="15"/>
      <c r="H796" s="8" t="s">
        <v>42</v>
      </c>
      <c r="I796" s="8" t="s">
        <v>42</v>
      </c>
    </row>
    <row r="797">
      <c r="A797" s="1"/>
      <c r="B797" s="1"/>
      <c r="D797" s="15"/>
      <c r="H797" s="8" t="s">
        <v>42</v>
      </c>
      <c r="I797" s="8" t="s">
        <v>42</v>
      </c>
    </row>
    <row r="798">
      <c r="A798" s="1"/>
      <c r="B798" s="1"/>
      <c r="D798" s="15"/>
      <c r="H798" s="8" t="s">
        <v>42</v>
      </c>
      <c r="I798" s="8" t="s">
        <v>42</v>
      </c>
    </row>
    <row r="799">
      <c r="A799" s="1"/>
      <c r="B799" s="1"/>
      <c r="D799" s="15"/>
      <c r="H799" s="8" t="s">
        <v>42</v>
      </c>
      <c r="I799" s="8" t="s">
        <v>42</v>
      </c>
    </row>
    <row r="800">
      <c r="A800" s="1"/>
      <c r="B800" s="1"/>
      <c r="D800" s="15"/>
      <c r="H800" s="8" t="s">
        <v>42</v>
      </c>
      <c r="I800" s="8" t="s">
        <v>42</v>
      </c>
    </row>
    <row r="801">
      <c r="A801" s="1"/>
      <c r="B801" s="1"/>
      <c r="D801" s="15"/>
      <c r="H801" s="8" t="s">
        <v>42</v>
      </c>
      <c r="I801" s="8" t="s">
        <v>42</v>
      </c>
    </row>
    <row r="802">
      <c r="A802" s="1"/>
      <c r="B802" s="1"/>
      <c r="D802" s="15"/>
      <c r="H802" s="8" t="s">
        <v>42</v>
      </c>
      <c r="I802" s="8" t="s">
        <v>42</v>
      </c>
    </row>
    <row r="803">
      <c r="A803" s="1"/>
      <c r="B803" s="1"/>
      <c r="D803" s="15"/>
      <c r="H803" s="8" t="s">
        <v>42</v>
      </c>
      <c r="I803" s="8" t="s">
        <v>42</v>
      </c>
    </row>
    <row r="804">
      <c r="A804" s="1"/>
      <c r="B804" s="1"/>
      <c r="D804" s="15"/>
      <c r="H804" s="8" t="s">
        <v>42</v>
      </c>
      <c r="I804" s="8" t="s">
        <v>42</v>
      </c>
    </row>
    <row r="805">
      <c r="A805" s="1"/>
      <c r="B805" s="1"/>
      <c r="D805" s="15"/>
      <c r="H805" s="8" t="s">
        <v>42</v>
      </c>
      <c r="I805" s="8" t="s">
        <v>42</v>
      </c>
    </row>
    <row r="806">
      <c r="A806" s="1"/>
      <c r="B806" s="1"/>
      <c r="D806" s="15"/>
      <c r="H806" s="8" t="s">
        <v>42</v>
      </c>
      <c r="I806" s="8" t="s">
        <v>42</v>
      </c>
    </row>
    <row r="807">
      <c r="A807" s="1"/>
      <c r="B807" s="1"/>
      <c r="D807" s="15"/>
      <c r="H807" s="8" t="s">
        <v>42</v>
      </c>
      <c r="I807" s="8" t="s">
        <v>42</v>
      </c>
    </row>
    <row r="808">
      <c r="A808" s="1"/>
      <c r="B808" s="1"/>
      <c r="D808" s="15"/>
      <c r="H808" s="8" t="s">
        <v>42</v>
      </c>
      <c r="I808" s="8" t="s">
        <v>42</v>
      </c>
    </row>
    <row r="809">
      <c r="A809" s="1"/>
      <c r="B809" s="1"/>
      <c r="D809" s="15"/>
      <c r="H809" s="8" t="s">
        <v>42</v>
      </c>
      <c r="I809" s="8" t="s">
        <v>42</v>
      </c>
    </row>
    <row r="810">
      <c r="A810" s="1"/>
      <c r="B810" s="1"/>
      <c r="D810" s="15"/>
      <c r="H810" s="8" t="s">
        <v>42</v>
      </c>
      <c r="I810" s="8" t="s">
        <v>42</v>
      </c>
    </row>
    <row r="811">
      <c r="A811" s="1"/>
      <c r="B811" s="1"/>
      <c r="D811" s="15"/>
      <c r="H811" s="8" t="s">
        <v>42</v>
      </c>
      <c r="I811" s="8" t="s">
        <v>42</v>
      </c>
    </row>
    <row r="812">
      <c r="A812" s="1"/>
      <c r="B812" s="1"/>
      <c r="D812" s="15"/>
      <c r="H812" s="8" t="s">
        <v>42</v>
      </c>
      <c r="I812" s="8" t="s">
        <v>42</v>
      </c>
    </row>
    <row r="813">
      <c r="A813" s="1"/>
      <c r="B813" s="1"/>
      <c r="D813" s="15"/>
      <c r="H813" s="8" t="s">
        <v>42</v>
      </c>
      <c r="I813" s="8" t="s">
        <v>42</v>
      </c>
    </row>
    <row r="814">
      <c r="A814" s="1"/>
      <c r="B814" s="1"/>
      <c r="D814" s="15"/>
      <c r="H814" s="8" t="s">
        <v>42</v>
      </c>
      <c r="I814" s="8" t="s">
        <v>42</v>
      </c>
    </row>
    <row r="815">
      <c r="A815" s="1"/>
      <c r="B815" s="1"/>
      <c r="D815" s="15"/>
      <c r="H815" s="8" t="s">
        <v>42</v>
      </c>
      <c r="I815" s="8" t="s">
        <v>42</v>
      </c>
    </row>
    <row r="816">
      <c r="A816" s="1"/>
      <c r="B816" s="1"/>
      <c r="D816" s="15"/>
      <c r="H816" s="8" t="s">
        <v>42</v>
      </c>
      <c r="I816" s="8" t="s">
        <v>42</v>
      </c>
    </row>
    <row r="817">
      <c r="A817" s="1"/>
      <c r="B817" s="1"/>
      <c r="D817" s="15"/>
      <c r="H817" s="8" t="s">
        <v>42</v>
      </c>
      <c r="I817" s="8" t="s">
        <v>42</v>
      </c>
    </row>
    <row r="818">
      <c r="A818" s="1"/>
      <c r="B818" s="1"/>
      <c r="D818" s="15"/>
      <c r="H818" s="8" t="s">
        <v>42</v>
      </c>
      <c r="I818" s="8" t="s">
        <v>42</v>
      </c>
    </row>
    <row r="819">
      <c r="A819" s="1"/>
      <c r="B819" s="1"/>
      <c r="D819" s="15"/>
      <c r="H819" s="8" t="s">
        <v>42</v>
      </c>
      <c r="I819" s="8" t="s">
        <v>42</v>
      </c>
    </row>
    <row r="820">
      <c r="A820" s="1"/>
      <c r="B820" s="1"/>
      <c r="D820" s="15"/>
      <c r="H820" s="8" t="s">
        <v>42</v>
      </c>
      <c r="I820" s="8" t="s">
        <v>42</v>
      </c>
    </row>
    <row r="821">
      <c r="A821" s="1"/>
      <c r="B821" s="1"/>
      <c r="D821" s="15"/>
      <c r="H821" s="8" t="s">
        <v>42</v>
      </c>
      <c r="I821" s="8" t="s">
        <v>42</v>
      </c>
    </row>
    <row r="822">
      <c r="A822" s="1"/>
      <c r="B822" s="1"/>
      <c r="D822" s="15"/>
      <c r="H822" s="8" t="s">
        <v>42</v>
      </c>
      <c r="I822" s="8" t="s">
        <v>42</v>
      </c>
    </row>
    <row r="823">
      <c r="A823" s="1"/>
      <c r="B823" s="1"/>
      <c r="D823" s="15"/>
      <c r="H823" s="8" t="s">
        <v>42</v>
      </c>
      <c r="I823" s="8" t="s">
        <v>42</v>
      </c>
    </row>
    <row r="824">
      <c r="A824" s="1"/>
      <c r="B824" s="1"/>
      <c r="D824" s="15"/>
      <c r="H824" s="8" t="s">
        <v>42</v>
      </c>
      <c r="I824" s="8" t="s">
        <v>42</v>
      </c>
    </row>
    <row r="825">
      <c r="A825" s="1"/>
      <c r="B825" s="1"/>
      <c r="D825" s="15"/>
      <c r="H825" s="8" t="s">
        <v>42</v>
      </c>
      <c r="I825" s="8" t="s">
        <v>42</v>
      </c>
    </row>
    <row r="826">
      <c r="A826" s="1"/>
      <c r="B826" s="1"/>
      <c r="D826" s="15"/>
      <c r="H826" s="8" t="s">
        <v>42</v>
      </c>
      <c r="I826" s="8" t="s">
        <v>42</v>
      </c>
    </row>
    <row r="827">
      <c r="A827" s="1"/>
      <c r="B827" s="1"/>
      <c r="D827" s="15"/>
      <c r="H827" s="8" t="s">
        <v>42</v>
      </c>
      <c r="I827" s="8" t="s">
        <v>42</v>
      </c>
    </row>
    <row r="828">
      <c r="A828" s="1"/>
      <c r="B828" s="1"/>
      <c r="D828" s="15"/>
      <c r="H828" s="8" t="s">
        <v>42</v>
      </c>
      <c r="I828" s="8" t="s">
        <v>42</v>
      </c>
    </row>
    <row r="829">
      <c r="A829" s="1"/>
      <c r="B829" s="1"/>
      <c r="D829" s="15"/>
      <c r="H829" s="8" t="s">
        <v>42</v>
      </c>
      <c r="I829" s="8" t="s">
        <v>42</v>
      </c>
    </row>
    <row r="830">
      <c r="A830" s="1"/>
      <c r="B830" s="1"/>
      <c r="D830" s="15"/>
      <c r="H830" s="8" t="s">
        <v>42</v>
      </c>
      <c r="I830" s="8" t="s">
        <v>42</v>
      </c>
    </row>
    <row r="831">
      <c r="A831" s="1"/>
      <c r="B831" s="1"/>
      <c r="D831" s="15"/>
      <c r="H831" s="8" t="s">
        <v>42</v>
      </c>
      <c r="I831" s="8" t="s">
        <v>42</v>
      </c>
    </row>
    <row r="832">
      <c r="A832" s="1"/>
      <c r="B832" s="1"/>
      <c r="D832" s="15"/>
      <c r="H832" s="8" t="s">
        <v>42</v>
      </c>
      <c r="I832" s="8" t="s">
        <v>42</v>
      </c>
    </row>
    <row r="833">
      <c r="A833" s="1"/>
      <c r="B833" s="1"/>
      <c r="D833" s="15"/>
      <c r="H833" s="8" t="s">
        <v>42</v>
      </c>
      <c r="I833" s="8" t="s">
        <v>42</v>
      </c>
    </row>
    <row r="834">
      <c r="A834" s="1"/>
      <c r="B834" s="1"/>
      <c r="D834" s="15"/>
      <c r="H834" s="8" t="s">
        <v>42</v>
      </c>
      <c r="I834" s="8" t="s">
        <v>42</v>
      </c>
    </row>
    <row r="835">
      <c r="A835" s="1"/>
      <c r="B835" s="1"/>
      <c r="D835" s="15"/>
      <c r="H835" s="8" t="s">
        <v>42</v>
      </c>
      <c r="I835" s="8" t="s">
        <v>42</v>
      </c>
    </row>
    <row r="836">
      <c r="A836" s="1"/>
      <c r="B836" s="1"/>
      <c r="D836" s="15"/>
      <c r="H836" s="8" t="s">
        <v>42</v>
      </c>
      <c r="I836" s="8" t="s">
        <v>42</v>
      </c>
    </row>
    <row r="837">
      <c r="A837" s="1"/>
      <c r="B837" s="1"/>
      <c r="D837" s="15"/>
      <c r="H837" s="8" t="s">
        <v>42</v>
      </c>
      <c r="I837" s="8" t="s">
        <v>42</v>
      </c>
    </row>
    <row r="838">
      <c r="A838" s="1"/>
      <c r="B838" s="1"/>
      <c r="D838" s="15"/>
      <c r="H838" s="8" t="s">
        <v>42</v>
      </c>
      <c r="I838" s="8" t="s">
        <v>42</v>
      </c>
    </row>
    <row r="839">
      <c r="A839" s="1"/>
      <c r="B839" s="1"/>
      <c r="D839" s="15"/>
      <c r="H839" s="8" t="s">
        <v>42</v>
      </c>
      <c r="I839" s="8" t="s">
        <v>42</v>
      </c>
    </row>
    <row r="840">
      <c r="A840" s="1"/>
      <c r="B840" s="1"/>
      <c r="D840" s="15"/>
      <c r="H840" s="8" t="s">
        <v>42</v>
      </c>
      <c r="I840" s="8" t="s">
        <v>42</v>
      </c>
    </row>
    <row r="841">
      <c r="A841" s="1"/>
      <c r="B841" s="1"/>
      <c r="D841" s="15"/>
      <c r="H841" s="8" t="s">
        <v>42</v>
      </c>
      <c r="I841" s="8" t="s">
        <v>42</v>
      </c>
    </row>
    <row r="842">
      <c r="A842" s="1"/>
      <c r="B842" s="1"/>
      <c r="D842" s="15"/>
      <c r="H842" s="8" t="s">
        <v>42</v>
      </c>
      <c r="I842" s="8" t="s">
        <v>42</v>
      </c>
    </row>
    <row r="843">
      <c r="A843" s="1"/>
      <c r="B843" s="1"/>
      <c r="D843" s="15"/>
      <c r="H843" s="8" t="s">
        <v>42</v>
      </c>
      <c r="I843" s="8" t="s">
        <v>42</v>
      </c>
    </row>
    <row r="844">
      <c r="A844" s="1"/>
      <c r="B844" s="1"/>
      <c r="D844" s="15"/>
      <c r="H844" s="8" t="s">
        <v>42</v>
      </c>
      <c r="I844" s="8" t="s">
        <v>42</v>
      </c>
    </row>
    <row r="845">
      <c r="A845" s="1"/>
      <c r="B845" s="1"/>
      <c r="D845" s="15"/>
      <c r="H845" s="8" t="s">
        <v>42</v>
      </c>
      <c r="I845" s="8" t="s">
        <v>42</v>
      </c>
    </row>
    <row r="846">
      <c r="A846" s="1"/>
      <c r="B846" s="1"/>
      <c r="D846" s="15"/>
      <c r="H846" s="8" t="s">
        <v>42</v>
      </c>
      <c r="I846" s="8" t="s">
        <v>42</v>
      </c>
    </row>
    <row r="847">
      <c r="A847" s="1"/>
      <c r="B847" s="1"/>
      <c r="D847" s="15"/>
      <c r="H847" s="8" t="s">
        <v>42</v>
      </c>
      <c r="I847" s="8" t="s">
        <v>42</v>
      </c>
    </row>
    <row r="848">
      <c r="A848" s="1"/>
      <c r="B848" s="1"/>
      <c r="D848" s="15"/>
      <c r="H848" s="8" t="s">
        <v>42</v>
      </c>
      <c r="I848" s="8" t="s">
        <v>42</v>
      </c>
    </row>
    <row r="849">
      <c r="A849" s="1"/>
      <c r="B849" s="1"/>
      <c r="D849" s="15"/>
      <c r="H849" s="8" t="s">
        <v>42</v>
      </c>
      <c r="I849" s="8" t="s">
        <v>42</v>
      </c>
    </row>
    <row r="850">
      <c r="A850" s="1"/>
      <c r="B850" s="1"/>
      <c r="D850" s="15"/>
      <c r="H850" s="8" t="s">
        <v>42</v>
      </c>
      <c r="I850" s="8" t="s">
        <v>42</v>
      </c>
    </row>
    <row r="851">
      <c r="A851" s="1"/>
      <c r="B851" s="1"/>
      <c r="D851" s="15"/>
      <c r="H851" s="8" t="s">
        <v>42</v>
      </c>
      <c r="I851" s="8" t="s">
        <v>42</v>
      </c>
    </row>
    <row r="852">
      <c r="A852" s="1"/>
      <c r="B852" s="1"/>
      <c r="D852" s="15"/>
      <c r="H852" s="8" t="s">
        <v>42</v>
      </c>
      <c r="I852" s="8" t="s">
        <v>42</v>
      </c>
    </row>
    <row r="853">
      <c r="A853" s="1"/>
      <c r="B853" s="1"/>
      <c r="D853" s="15"/>
      <c r="H853" s="8" t="s">
        <v>42</v>
      </c>
      <c r="I853" s="8" t="s">
        <v>42</v>
      </c>
    </row>
    <row r="854">
      <c r="A854" s="1"/>
      <c r="B854" s="1"/>
      <c r="D854" s="15"/>
      <c r="H854" s="8" t="s">
        <v>42</v>
      </c>
      <c r="I854" s="8" t="s">
        <v>42</v>
      </c>
    </row>
    <row r="855">
      <c r="A855" s="1"/>
      <c r="B855" s="1"/>
      <c r="D855" s="15"/>
      <c r="H855" s="8" t="s">
        <v>42</v>
      </c>
      <c r="I855" s="8" t="s">
        <v>42</v>
      </c>
    </row>
    <row r="856">
      <c r="A856" s="1"/>
      <c r="B856" s="1"/>
      <c r="D856" s="15"/>
      <c r="H856" s="8" t="s">
        <v>42</v>
      </c>
      <c r="I856" s="8" t="s">
        <v>42</v>
      </c>
    </row>
    <row r="857">
      <c r="A857" s="1"/>
      <c r="B857" s="1"/>
      <c r="D857" s="15"/>
      <c r="H857" s="8" t="s">
        <v>42</v>
      </c>
      <c r="I857" s="8" t="s">
        <v>42</v>
      </c>
    </row>
    <row r="858">
      <c r="A858" s="1"/>
      <c r="B858" s="1"/>
      <c r="D858" s="15"/>
      <c r="H858" s="8" t="s">
        <v>42</v>
      </c>
      <c r="I858" s="8" t="s">
        <v>42</v>
      </c>
    </row>
    <row r="859">
      <c r="A859" s="1"/>
      <c r="B859" s="1"/>
      <c r="D859" s="15"/>
      <c r="H859" s="8" t="s">
        <v>42</v>
      </c>
      <c r="I859" s="8" t="s">
        <v>42</v>
      </c>
    </row>
    <row r="860">
      <c r="A860" s="1"/>
      <c r="B860" s="1"/>
      <c r="D860" s="15"/>
      <c r="H860" s="8" t="s">
        <v>42</v>
      </c>
      <c r="I860" s="8" t="s">
        <v>42</v>
      </c>
    </row>
    <row r="861">
      <c r="A861" s="1"/>
      <c r="B861" s="1"/>
      <c r="D861" s="15"/>
      <c r="H861" s="8" t="s">
        <v>42</v>
      </c>
      <c r="I861" s="8" t="s">
        <v>42</v>
      </c>
    </row>
    <row r="862">
      <c r="A862" s="1"/>
      <c r="B862" s="1"/>
      <c r="D862" s="15"/>
      <c r="H862" s="8" t="s">
        <v>42</v>
      </c>
      <c r="I862" s="8" t="s">
        <v>42</v>
      </c>
    </row>
    <row r="863">
      <c r="A863" s="1"/>
      <c r="B863" s="1"/>
      <c r="D863" s="15"/>
      <c r="H863" s="8" t="s">
        <v>42</v>
      </c>
      <c r="I863" s="8" t="s">
        <v>42</v>
      </c>
    </row>
    <row r="864">
      <c r="A864" s="1"/>
      <c r="B864" s="1"/>
      <c r="D864" s="15"/>
      <c r="H864" s="8" t="s">
        <v>42</v>
      </c>
      <c r="I864" s="8" t="s">
        <v>42</v>
      </c>
    </row>
    <row r="865">
      <c r="A865" s="1"/>
      <c r="B865" s="1"/>
      <c r="D865" s="15"/>
      <c r="H865" s="8" t="s">
        <v>42</v>
      </c>
      <c r="I865" s="8" t="s">
        <v>42</v>
      </c>
    </row>
    <row r="866">
      <c r="A866" s="1"/>
      <c r="B866" s="1"/>
      <c r="D866" s="15"/>
      <c r="H866" s="8" t="s">
        <v>42</v>
      </c>
      <c r="I866" s="8" t="s">
        <v>42</v>
      </c>
    </row>
    <row r="867">
      <c r="A867" s="1"/>
      <c r="B867" s="1"/>
      <c r="D867" s="15"/>
      <c r="H867" s="8" t="s">
        <v>42</v>
      </c>
      <c r="I867" s="8" t="s">
        <v>42</v>
      </c>
    </row>
    <row r="868">
      <c r="A868" s="1"/>
      <c r="B868" s="1"/>
      <c r="D868" s="15"/>
      <c r="H868" s="8" t="s">
        <v>42</v>
      </c>
      <c r="I868" s="8" t="s">
        <v>42</v>
      </c>
    </row>
    <row r="869">
      <c r="A869" s="1"/>
      <c r="B869" s="1"/>
      <c r="D869" s="15"/>
      <c r="H869" s="8" t="s">
        <v>42</v>
      </c>
      <c r="I869" s="8" t="s">
        <v>42</v>
      </c>
    </row>
    <row r="870">
      <c r="A870" s="1"/>
      <c r="B870" s="1"/>
      <c r="D870" s="15"/>
      <c r="H870" s="8" t="s">
        <v>42</v>
      </c>
      <c r="I870" s="8" t="s">
        <v>42</v>
      </c>
    </row>
    <row r="871">
      <c r="A871" s="1"/>
      <c r="B871" s="1"/>
      <c r="D871" s="15"/>
      <c r="H871" s="8" t="s">
        <v>42</v>
      </c>
      <c r="I871" s="8" t="s">
        <v>42</v>
      </c>
    </row>
    <row r="872">
      <c r="A872" s="1"/>
      <c r="B872" s="1"/>
      <c r="D872" s="15"/>
      <c r="H872" s="8" t="s">
        <v>42</v>
      </c>
      <c r="I872" s="8" t="s">
        <v>42</v>
      </c>
    </row>
    <row r="873">
      <c r="A873" s="1"/>
      <c r="B873" s="1"/>
      <c r="D873" s="15"/>
      <c r="H873" s="8" t="s">
        <v>42</v>
      </c>
      <c r="I873" s="8" t="s">
        <v>42</v>
      </c>
    </row>
    <row r="874">
      <c r="A874" s="1"/>
      <c r="B874" s="1"/>
      <c r="D874" s="15"/>
      <c r="H874" s="8" t="s">
        <v>42</v>
      </c>
      <c r="I874" s="8" t="s">
        <v>42</v>
      </c>
    </row>
    <row r="875">
      <c r="A875" s="1"/>
      <c r="B875" s="1"/>
      <c r="D875" s="15"/>
      <c r="H875" s="8" t="s">
        <v>42</v>
      </c>
      <c r="I875" s="8" t="s">
        <v>42</v>
      </c>
    </row>
    <row r="876">
      <c r="A876" s="1"/>
      <c r="B876" s="1"/>
      <c r="D876" s="15"/>
      <c r="H876" s="8" t="s">
        <v>42</v>
      </c>
      <c r="I876" s="8" t="s">
        <v>42</v>
      </c>
    </row>
    <row r="877">
      <c r="A877" s="1"/>
      <c r="B877" s="1"/>
      <c r="D877" s="15"/>
      <c r="H877" s="8" t="s">
        <v>42</v>
      </c>
      <c r="I877" s="8" t="s">
        <v>42</v>
      </c>
    </row>
    <row r="878">
      <c r="A878" s="1"/>
      <c r="B878" s="1"/>
      <c r="D878" s="15"/>
      <c r="H878" s="8" t="s">
        <v>42</v>
      </c>
      <c r="I878" s="8" t="s">
        <v>42</v>
      </c>
    </row>
    <row r="879">
      <c r="A879" s="1"/>
      <c r="B879" s="1"/>
      <c r="D879" s="15"/>
      <c r="H879" s="8" t="s">
        <v>42</v>
      </c>
      <c r="I879" s="8" t="s">
        <v>42</v>
      </c>
    </row>
    <row r="880">
      <c r="A880" s="1"/>
      <c r="B880" s="1"/>
      <c r="D880" s="15"/>
      <c r="H880" s="8" t="s">
        <v>42</v>
      </c>
      <c r="I880" s="8" t="s">
        <v>42</v>
      </c>
    </row>
    <row r="881">
      <c r="A881" s="1"/>
      <c r="B881" s="1"/>
      <c r="D881" s="15"/>
      <c r="H881" s="8" t="s">
        <v>42</v>
      </c>
      <c r="I881" s="8" t="s">
        <v>42</v>
      </c>
    </row>
    <row r="882">
      <c r="A882" s="1"/>
      <c r="B882" s="1"/>
      <c r="D882" s="15"/>
      <c r="H882" s="8" t="s">
        <v>42</v>
      </c>
      <c r="I882" s="8" t="s">
        <v>42</v>
      </c>
    </row>
    <row r="883">
      <c r="A883" s="1"/>
      <c r="B883" s="1"/>
      <c r="D883" s="15"/>
      <c r="H883" s="8" t="s">
        <v>42</v>
      </c>
      <c r="I883" s="8" t="s">
        <v>42</v>
      </c>
    </row>
    <row r="884">
      <c r="A884" s="1"/>
      <c r="B884" s="1"/>
      <c r="D884" s="15"/>
      <c r="H884" s="8" t="s">
        <v>42</v>
      </c>
      <c r="I884" s="8" t="s">
        <v>42</v>
      </c>
    </row>
    <row r="885">
      <c r="A885" s="1"/>
      <c r="B885" s="1"/>
      <c r="D885" s="15"/>
      <c r="H885" s="8" t="s">
        <v>42</v>
      </c>
      <c r="I885" s="8" t="s">
        <v>42</v>
      </c>
    </row>
    <row r="886">
      <c r="A886" s="1"/>
      <c r="B886" s="1"/>
      <c r="D886" s="15"/>
      <c r="H886" s="8" t="s">
        <v>42</v>
      </c>
      <c r="I886" s="8" t="s">
        <v>42</v>
      </c>
    </row>
    <row r="887">
      <c r="A887" s="1"/>
      <c r="B887" s="1"/>
      <c r="D887" s="15"/>
      <c r="H887" s="8" t="s">
        <v>42</v>
      </c>
      <c r="I887" s="8" t="s">
        <v>42</v>
      </c>
    </row>
    <row r="888">
      <c r="A888" s="1"/>
      <c r="B888" s="1"/>
      <c r="D888" s="15"/>
      <c r="H888" s="8" t="s">
        <v>42</v>
      </c>
      <c r="I888" s="8" t="s">
        <v>42</v>
      </c>
    </row>
    <row r="889">
      <c r="A889" s="1"/>
      <c r="B889" s="1"/>
      <c r="D889" s="15"/>
      <c r="H889" s="8" t="s">
        <v>42</v>
      </c>
      <c r="I889" s="8" t="s">
        <v>42</v>
      </c>
    </row>
    <row r="890">
      <c r="A890" s="1"/>
      <c r="B890" s="1"/>
      <c r="D890" s="15"/>
      <c r="H890" s="8" t="s">
        <v>42</v>
      </c>
      <c r="I890" s="8" t="s">
        <v>42</v>
      </c>
    </row>
    <row r="891">
      <c r="A891" s="1"/>
      <c r="B891" s="1"/>
      <c r="D891" s="15"/>
      <c r="H891" s="8" t="s">
        <v>42</v>
      </c>
      <c r="I891" s="8" t="s">
        <v>42</v>
      </c>
    </row>
    <row r="892">
      <c r="A892" s="1"/>
      <c r="B892" s="1"/>
      <c r="D892" s="15"/>
      <c r="H892" s="8" t="s">
        <v>42</v>
      </c>
      <c r="I892" s="8" t="s">
        <v>42</v>
      </c>
    </row>
    <row r="893">
      <c r="A893" s="1"/>
      <c r="B893" s="1"/>
      <c r="D893" s="15"/>
      <c r="H893" s="8" t="s">
        <v>42</v>
      </c>
      <c r="I893" s="8" t="s">
        <v>42</v>
      </c>
    </row>
    <row r="894">
      <c r="A894" s="1"/>
      <c r="B894" s="1"/>
      <c r="D894" s="15"/>
      <c r="H894" s="8" t="s">
        <v>42</v>
      </c>
      <c r="I894" s="8" t="s">
        <v>42</v>
      </c>
    </row>
    <row r="895">
      <c r="A895" s="1"/>
      <c r="B895" s="1"/>
      <c r="D895" s="15"/>
      <c r="H895" s="8" t="s">
        <v>42</v>
      </c>
      <c r="I895" s="8" t="s">
        <v>42</v>
      </c>
    </row>
    <row r="896">
      <c r="A896" s="1"/>
      <c r="B896" s="1"/>
      <c r="D896" s="15"/>
      <c r="H896" s="8" t="s">
        <v>42</v>
      </c>
      <c r="I896" s="8" t="s">
        <v>42</v>
      </c>
    </row>
    <row r="897">
      <c r="A897" s="1"/>
      <c r="B897" s="1"/>
      <c r="D897" s="15"/>
      <c r="H897" s="8" t="s">
        <v>42</v>
      </c>
      <c r="I897" s="8" t="s">
        <v>42</v>
      </c>
    </row>
    <row r="898">
      <c r="A898" s="1"/>
      <c r="B898" s="1"/>
      <c r="D898" s="15"/>
      <c r="H898" s="8" t="s">
        <v>42</v>
      </c>
      <c r="I898" s="8" t="s">
        <v>42</v>
      </c>
    </row>
    <row r="899">
      <c r="A899" s="1"/>
      <c r="B899" s="1"/>
      <c r="D899" s="15"/>
      <c r="H899" s="8" t="s">
        <v>42</v>
      </c>
      <c r="I899" s="8" t="s">
        <v>42</v>
      </c>
    </row>
    <row r="900">
      <c r="A900" s="1"/>
      <c r="B900" s="1"/>
      <c r="D900" s="15"/>
      <c r="H900" s="8" t="s">
        <v>42</v>
      </c>
      <c r="I900" s="8" t="s">
        <v>42</v>
      </c>
    </row>
    <row r="901">
      <c r="A901" s="1"/>
      <c r="B901" s="1"/>
      <c r="D901" s="15"/>
      <c r="H901" s="8" t="s">
        <v>42</v>
      </c>
      <c r="I901" s="8" t="s">
        <v>42</v>
      </c>
    </row>
    <row r="902">
      <c r="A902" s="1"/>
      <c r="B902" s="1"/>
      <c r="D902" s="15"/>
      <c r="H902" s="8" t="s">
        <v>42</v>
      </c>
      <c r="I902" s="8" t="s">
        <v>42</v>
      </c>
    </row>
    <row r="903">
      <c r="A903" s="1"/>
      <c r="B903" s="1"/>
      <c r="D903" s="15"/>
      <c r="H903" s="8" t="s">
        <v>42</v>
      </c>
      <c r="I903" s="8" t="s">
        <v>42</v>
      </c>
    </row>
    <row r="904">
      <c r="A904" s="1"/>
      <c r="B904" s="1"/>
      <c r="D904" s="15"/>
      <c r="H904" s="8" t="s">
        <v>42</v>
      </c>
      <c r="I904" s="8" t="s">
        <v>42</v>
      </c>
    </row>
    <row r="905">
      <c r="A905" s="1"/>
      <c r="B905" s="1"/>
      <c r="D905" s="15"/>
      <c r="H905" s="8" t="s">
        <v>42</v>
      </c>
      <c r="I905" s="8" t="s">
        <v>42</v>
      </c>
    </row>
    <row r="906">
      <c r="A906" s="1"/>
      <c r="B906" s="1"/>
      <c r="D906" s="15"/>
      <c r="H906" s="8" t="s">
        <v>42</v>
      </c>
      <c r="I906" s="8" t="s">
        <v>42</v>
      </c>
    </row>
    <row r="907">
      <c r="A907" s="1"/>
      <c r="B907" s="1"/>
      <c r="D907" s="15"/>
      <c r="H907" s="8" t="s">
        <v>42</v>
      </c>
      <c r="I907" s="8" t="s">
        <v>42</v>
      </c>
    </row>
    <row r="908">
      <c r="A908" s="1"/>
      <c r="B908" s="1"/>
      <c r="D908" s="15"/>
      <c r="H908" s="8" t="s">
        <v>42</v>
      </c>
      <c r="I908" s="8" t="s">
        <v>42</v>
      </c>
    </row>
    <row r="909">
      <c r="A909" s="1"/>
      <c r="B909" s="1"/>
      <c r="D909" s="15"/>
      <c r="H909" s="8" t="s">
        <v>42</v>
      </c>
      <c r="I909" s="8" t="s">
        <v>42</v>
      </c>
    </row>
    <row r="910">
      <c r="A910" s="1"/>
      <c r="B910" s="1"/>
      <c r="D910" s="15"/>
      <c r="H910" s="8" t="s">
        <v>42</v>
      </c>
      <c r="I910" s="8" t="s">
        <v>42</v>
      </c>
    </row>
    <row r="911">
      <c r="A911" s="1"/>
      <c r="B911" s="1"/>
      <c r="D911" s="15"/>
      <c r="H911" s="8" t="s">
        <v>42</v>
      </c>
      <c r="I911" s="8" t="s">
        <v>42</v>
      </c>
    </row>
    <row r="912">
      <c r="A912" s="1"/>
      <c r="B912" s="1"/>
      <c r="D912" s="15"/>
      <c r="H912" s="8" t="s">
        <v>42</v>
      </c>
      <c r="I912" s="8" t="s">
        <v>42</v>
      </c>
    </row>
    <row r="913">
      <c r="A913" s="1"/>
      <c r="B913" s="1"/>
      <c r="D913" s="15"/>
      <c r="H913" s="8" t="s">
        <v>42</v>
      </c>
      <c r="I913" s="8" t="s">
        <v>42</v>
      </c>
    </row>
    <row r="914">
      <c r="A914" s="1"/>
      <c r="B914" s="1"/>
      <c r="D914" s="15"/>
      <c r="H914" s="8" t="s">
        <v>42</v>
      </c>
      <c r="I914" s="8" t="s">
        <v>42</v>
      </c>
    </row>
    <row r="915">
      <c r="A915" s="1"/>
      <c r="B915" s="1"/>
      <c r="D915" s="15"/>
      <c r="H915" s="8" t="s">
        <v>42</v>
      </c>
      <c r="I915" s="8" t="s">
        <v>42</v>
      </c>
    </row>
    <row r="916">
      <c r="A916" s="1"/>
      <c r="B916" s="1"/>
      <c r="D916" s="15"/>
      <c r="H916" s="8" t="s">
        <v>42</v>
      </c>
      <c r="I916" s="8" t="s">
        <v>42</v>
      </c>
    </row>
    <row r="917">
      <c r="A917" s="1"/>
      <c r="B917" s="1"/>
      <c r="D917" s="15"/>
      <c r="H917" s="8" t="s">
        <v>42</v>
      </c>
      <c r="I917" s="8" t="s">
        <v>42</v>
      </c>
    </row>
    <row r="918">
      <c r="A918" s="1"/>
      <c r="B918" s="1"/>
      <c r="D918" s="15"/>
      <c r="H918" s="8" t="s">
        <v>42</v>
      </c>
      <c r="I918" s="8" t="s">
        <v>42</v>
      </c>
    </row>
    <row r="919">
      <c r="A919" s="1"/>
      <c r="B919" s="1"/>
      <c r="D919" s="15"/>
      <c r="H919" s="8" t="s">
        <v>42</v>
      </c>
      <c r="I919" s="8" t="s">
        <v>42</v>
      </c>
    </row>
    <row r="920">
      <c r="A920" s="1"/>
      <c r="B920" s="1"/>
      <c r="D920" s="15"/>
      <c r="H920" s="8" t="s">
        <v>42</v>
      </c>
      <c r="I920" s="8" t="s">
        <v>42</v>
      </c>
    </row>
    <row r="921">
      <c r="A921" s="1"/>
      <c r="B921" s="1"/>
      <c r="D921" s="15"/>
      <c r="H921" s="8" t="s">
        <v>42</v>
      </c>
      <c r="I921" s="8" t="s">
        <v>42</v>
      </c>
    </row>
    <row r="922">
      <c r="A922" s="1"/>
      <c r="B922" s="1"/>
      <c r="D922" s="15"/>
      <c r="H922" s="8" t="s">
        <v>42</v>
      </c>
      <c r="I922" s="8" t="s">
        <v>42</v>
      </c>
    </row>
    <row r="923">
      <c r="A923" s="1"/>
      <c r="B923" s="1"/>
      <c r="D923" s="15"/>
      <c r="H923" s="8" t="s">
        <v>42</v>
      </c>
      <c r="I923" s="8" t="s">
        <v>42</v>
      </c>
    </row>
    <row r="924">
      <c r="A924" s="1"/>
      <c r="B924" s="1"/>
      <c r="D924" s="15"/>
      <c r="H924" s="8" t="s">
        <v>42</v>
      </c>
      <c r="I924" s="8" t="s">
        <v>42</v>
      </c>
    </row>
    <row r="925">
      <c r="A925" s="1"/>
      <c r="B925" s="1"/>
      <c r="D925" s="15"/>
      <c r="H925" s="8" t="s">
        <v>42</v>
      </c>
      <c r="I925" s="8" t="s">
        <v>42</v>
      </c>
    </row>
    <row r="926">
      <c r="A926" s="1"/>
      <c r="B926" s="1"/>
      <c r="D926" s="15"/>
      <c r="H926" s="8" t="s">
        <v>42</v>
      </c>
      <c r="I926" s="8" t="s">
        <v>42</v>
      </c>
    </row>
    <row r="927">
      <c r="A927" s="1"/>
      <c r="B927" s="1"/>
      <c r="D927" s="15"/>
      <c r="H927" s="8" t="s">
        <v>42</v>
      </c>
      <c r="I927" s="8" t="s">
        <v>42</v>
      </c>
    </row>
    <row r="928">
      <c r="A928" s="1"/>
      <c r="B928" s="1"/>
      <c r="D928" s="15"/>
      <c r="H928" s="8" t="s">
        <v>42</v>
      </c>
      <c r="I928" s="8" t="s">
        <v>42</v>
      </c>
    </row>
    <row r="929">
      <c r="A929" s="1"/>
      <c r="B929" s="1"/>
      <c r="D929" s="15"/>
      <c r="H929" s="8" t="s">
        <v>42</v>
      </c>
      <c r="I929" s="8" t="s">
        <v>42</v>
      </c>
    </row>
    <row r="930">
      <c r="A930" s="1"/>
      <c r="B930" s="1"/>
      <c r="D930" s="15"/>
      <c r="H930" s="8" t="s">
        <v>42</v>
      </c>
      <c r="I930" s="8" t="s">
        <v>42</v>
      </c>
    </row>
    <row r="931">
      <c r="A931" s="1"/>
      <c r="B931" s="1"/>
      <c r="D931" s="15"/>
      <c r="H931" s="8" t="s">
        <v>42</v>
      </c>
      <c r="I931" s="8" t="s">
        <v>42</v>
      </c>
    </row>
    <row r="932">
      <c r="A932" s="1"/>
      <c r="B932" s="1"/>
      <c r="D932" s="15"/>
      <c r="H932" s="8" t="s">
        <v>42</v>
      </c>
      <c r="I932" s="8" t="s">
        <v>42</v>
      </c>
    </row>
    <row r="933">
      <c r="A933" s="1"/>
      <c r="B933" s="1"/>
      <c r="D933" s="15"/>
      <c r="H933" s="8" t="s">
        <v>42</v>
      </c>
      <c r="I933" s="8" t="s">
        <v>42</v>
      </c>
    </row>
    <row r="934">
      <c r="A934" s="1"/>
      <c r="B934" s="1"/>
      <c r="D934" s="15"/>
      <c r="H934" s="8" t="s">
        <v>42</v>
      </c>
      <c r="I934" s="8" t="s">
        <v>42</v>
      </c>
    </row>
    <row r="935">
      <c r="A935" s="1"/>
      <c r="B935" s="1"/>
      <c r="D935" s="15"/>
      <c r="H935" s="8" t="s">
        <v>42</v>
      </c>
      <c r="I935" s="8" t="s">
        <v>42</v>
      </c>
    </row>
    <row r="936">
      <c r="A936" s="1"/>
      <c r="B936" s="1"/>
      <c r="D936" s="15"/>
      <c r="H936" s="8" t="s">
        <v>42</v>
      </c>
      <c r="I936" s="8" t="s">
        <v>42</v>
      </c>
    </row>
    <row r="937">
      <c r="A937" s="1"/>
      <c r="B937" s="1"/>
      <c r="D937" s="15"/>
      <c r="H937" s="8" t="s">
        <v>42</v>
      </c>
      <c r="I937" s="8" t="s">
        <v>42</v>
      </c>
    </row>
    <row r="938">
      <c r="A938" s="1"/>
      <c r="B938" s="1"/>
      <c r="D938" s="15"/>
      <c r="H938" s="8" t="s">
        <v>42</v>
      </c>
      <c r="I938" s="8" t="s">
        <v>42</v>
      </c>
    </row>
    <row r="939">
      <c r="A939" s="1"/>
      <c r="B939" s="1"/>
      <c r="D939" s="15"/>
      <c r="H939" s="8" t="s">
        <v>42</v>
      </c>
      <c r="I939" s="8" t="s">
        <v>42</v>
      </c>
    </row>
    <row r="940">
      <c r="A940" s="1"/>
      <c r="B940" s="1"/>
      <c r="D940" s="15"/>
      <c r="H940" s="8" t="s">
        <v>42</v>
      </c>
      <c r="I940" s="8" t="s">
        <v>42</v>
      </c>
    </row>
    <row r="941">
      <c r="A941" s="1"/>
      <c r="B941" s="1"/>
      <c r="D941" s="15"/>
      <c r="H941" s="8" t="s">
        <v>42</v>
      </c>
      <c r="I941" s="8" t="s">
        <v>42</v>
      </c>
    </row>
    <row r="942">
      <c r="A942" s="1"/>
      <c r="B942" s="1"/>
      <c r="D942" s="15"/>
      <c r="H942" s="8" t="s">
        <v>42</v>
      </c>
      <c r="I942" s="8" t="s">
        <v>42</v>
      </c>
    </row>
    <row r="943">
      <c r="A943" s="1"/>
      <c r="B943" s="1"/>
      <c r="D943" s="15"/>
      <c r="H943" s="8" t="s">
        <v>42</v>
      </c>
      <c r="I943" s="8" t="s">
        <v>42</v>
      </c>
    </row>
    <row r="944">
      <c r="A944" s="1"/>
      <c r="B944" s="1"/>
      <c r="D944" s="15"/>
      <c r="H944" s="8" t="s">
        <v>42</v>
      </c>
      <c r="I944" s="8" t="s">
        <v>42</v>
      </c>
    </row>
    <row r="945">
      <c r="A945" s="1"/>
      <c r="B945" s="1"/>
      <c r="D945" s="15"/>
      <c r="H945" s="8" t="s">
        <v>42</v>
      </c>
      <c r="I945" s="8" t="s">
        <v>42</v>
      </c>
    </row>
    <row r="946">
      <c r="A946" s="1"/>
      <c r="B946" s="1"/>
      <c r="D946" s="15"/>
      <c r="H946" s="8" t="s">
        <v>42</v>
      </c>
      <c r="I946" s="8" t="s">
        <v>42</v>
      </c>
    </row>
    <row r="947">
      <c r="A947" s="1"/>
      <c r="B947" s="1"/>
      <c r="D947" s="15"/>
      <c r="H947" s="8" t="s">
        <v>42</v>
      </c>
      <c r="I947" s="8" t="s">
        <v>42</v>
      </c>
    </row>
    <row r="948">
      <c r="A948" s="1"/>
      <c r="B948" s="1"/>
      <c r="D948" s="15"/>
      <c r="H948" s="8" t="s">
        <v>42</v>
      </c>
      <c r="I948" s="8" t="s">
        <v>42</v>
      </c>
    </row>
    <row r="949">
      <c r="A949" s="1"/>
      <c r="B949" s="1"/>
      <c r="D949" s="15"/>
      <c r="H949" s="8" t="s">
        <v>42</v>
      </c>
      <c r="I949" s="8" t="s">
        <v>42</v>
      </c>
    </row>
    <row r="950">
      <c r="A950" s="1"/>
      <c r="B950" s="1"/>
      <c r="D950" s="15"/>
      <c r="H950" s="8" t="s">
        <v>42</v>
      </c>
      <c r="I950" s="8" t="s">
        <v>42</v>
      </c>
    </row>
    <row r="951">
      <c r="A951" s="1"/>
      <c r="B951" s="1"/>
      <c r="D951" s="15"/>
      <c r="H951" s="8" t="s">
        <v>42</v>
      </c>
      <c r="I951" s="8" t="s">
        <v>42</v>
      </c>
    </row>
    <row r="952">
      <c r="A952" s="1"/>
      <c r="B952" s="1"/>
      <c r="D952" s="15"/>
      <c r="H952" s="8" t="s">
        <v>42</v>
      </c>
      <c r="I952" s="8" t="s">
        <v>42</v>
      </c>
    </row>
    <row r="953">
      <c r="A953" s="1"/>
      <c r="B953" s="1"/>
      <c r="D953" s="15"/>
      <c r="H953" s="8" t="s">
        <v>42</v>
      </c>
      <c r="I953" s="8" t="s">
        <v>42</v>
      </c>
    </row>
    <row r="954">
      <c r="A954" s="1"/>
      <c r="B954" s="1"/>
      <c r="D954" s="15"/>
      <c r="H954" s="8" t="s">
        <v>42</v>
      </c>
      <c r="I954" s="8" t="s">
        <v>42</v>
      </c>
    </row>
    <row r="955">
      <c r="A955" s="1"/>
      <c r="B955" s="1"/>
      <c r="D955" s="15"/>
      <c r="H955" s="8" t="s">
        <v>42</v>
      </c>
      <c r="I955" s="8" t="s">
        <v>42</v>
      </c>
    </row>
  </sheetData>
  <conditionalFormatting sqref="H1:H955">
    <cfRule type="containsText" dxfId="0" priority="1" operator="containsText" text="Lewat/Selesai">
      <formula>NOT(ISERROR(SEARCH(("Lewat/Selesai"),(H1))))</formula>
    </cfRule>
  </conditionalFormatting>
  <conditionalFormatting sqref="H1:H955">
    <cfRule type="containsText" dxfId="1" priority="2" operator="containsText" text="Outstanding">
      <formula>NOT(ISERROR(SEARCH(("Outstanding"),(H1))))</formula>
    </cfRule>
  </conditionalFormatting>
  <hyperlinks>
    <hyperlink r:id="rId1" ref="J31"/>
    <hyperlink r:id="rId2" ref="J32"/>
    <hyperlink r:id="rId3" ref="J35"/>
    <hyperlink r:id="rId4" ref="J36"/>
    <hyperlink r:id="rId5" ref="J38"/>
    <hyperlink r:id="rId6" ref="J40"/>
    <hyperlink r:id="rId7" ref="J44"/>
    <hyperlink r:id="rId8" ref="J48"/>
    <hyperlink r:id="rId9" ref="J49"/>
    <hyperlink r:id="rId10" ref="J51"/>
    <hyperlink r:id="rId11" ref="J53"/>
    <hyperlink r:id="rId12" ref="J54"/>
    <hyperlink r:id="rId13" ref="J55"/>
    <hyperlink r:id="rId14" ref="J56"/>
    <hyperlink r:id="rId15" ref="J59"/>
    <hyperlink r:id="rId16" ref="J61"/>
    <hyperlink r:id="rId17" ref="J66"/>
    <hyperlink r:id="rId18" ref="J67"/>
    <hyperlink r:id="rId19" ref="J68"/>
    <hyperlink r:id="rId20" ref="J70"/>
    <hyperlink r:id="rId21" ref="J76"/>
    <hyperlink r:id="rId22" ref="J78"/>
    <hyperlink r:id="rId23" ref="J79"/>
    <hyperlink r:id="rId24" ref="J81"/>
    <hyperlink r:id="rId25" ref="J82"/>
    <hyperlink r:id="rId26" ref="J86"/>
    <hyperlink r:id="rId27" ref="J87"/>
    <hyperlink r:id="rId28" ref="J89"/>
    <hyperlink r:id="rId29" ref="J90"/>
    <hyperlink r:id="rId30" ref="J93"/>
    <hyperlink r:id="rId31" ref="J94"/>
    <hyperlink r:id="rId32" ref="J97"/>
    <hyperlink r:id="rId33" ref="J98"/>
    <hyperlink r:id="rId34" ref="J100"/>
    <hyperlink r:id="rId35" ref="J104"/>
    <hyperlink r:id="rId36" ref="J105"/>
    <hyperlink r:id="rId37" ref="J107"/>
    <hyperlink r:id="rId38" ref="J112"/>
    <hyperlink r:id="rId39" ref="J113"/>
    <hyperlink r:id="rId40" ref="J114"/>
    <hyperlink r:id="rId41" ref="J115"/>
    <hyperlink r:id="rId42" ref="J119"/>
    <hyperlink r:id="rId43" ref="J120"/>
    <hyperlink r:id="rId44" ref="J121"/>
    <hyperlink r:id="rId45" ref="J122"/>
    <hyperlink r:id="rId46" ref="J123"/>
    <hyperlink r:id="rId47" ref="J127"/>
  </hyperlinks>
  <drawing r:id="rId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9.5"/>
    <col customWidth="1" min="3" max="3" width="27.75"/>
    <col customWidth="1" min="4" max="5" width="16.5"/>
    <col customWidth="1" min="6" max="6" width="66.63"/>
    <col customWidth="1" min="7" max="7" width="26.25"/>
    <col customWidth="1" min="8" max="8" width="16.75"/>
    <col customWidth="1" min="9" max="9" width="22.25"/>
  </cols>
  <sheetData>
    <row r="1">
      <c r="A1" s="16" t="s">
        <v>383</v>
      </c>
      <c r="I1" s="17"/>
      <c r="J1" s="17"/>
      <c r="K1" s="17"/>
      <c r="L1" s="17"/>
      <c r="M1" s="17"/>
      <c r="N1" s="17"/>
      <c r="O1" s="17"/>
      <c r="P1" s="17"/>
      <c r="Q1" s="17"/>
      <c r="R1" s="17"/>
      <c r="S1" s="17"/>
      <c r="T1" s="17"/>
      <c r="U1" s="17"/>
      <c r="V1" s="17"/>
      <c r="W1" s="17"/>
      <c r="X1" s="17"/>
      <c r="Y1" s="17"/>
      <c r="Z1" s="17"/>
      <c r="AA1" s="17"/>
      <c r="AB1" s="17"/>
      <c r="AC1" s="17"/>
    </row>
    <row r="2">
      <c r="I2" s="17"/>
      <c r="J2" s="17"/>
      <c r="K2" s="17"/>
      <c r="L2" s="17"/>
      <c r="M2" s="17"/>
      <c r="N2" s="17"/>
      <c r="O2" s="17"/>
      <c r="P2" s="17"/>
      <c r="Q2" s="17"/>
      <c r="R2" s="17"/>
      <c r="S2" s="17"/>
      <c r="T2" s="17"/>
      <c r="U2" s="17"/>
      <c r="V2" s="17"/>
      <c r="W2" s="17"/>
      <c r="X2" s="17"/>
      <c r="Y2" s="17"/>
      <c r="Z2" s="17"/>
      <c r="AA2" s="17"/>
      <c r="AB2" s="17"/>
      <c r="AC2" s="17"/>
    </row>
    <row r="3">
      <c r="A3" s="18" t="s">
        <v>384</v>
      </c>
      <c r="B3" s="18" t="s">
        <v>385</v>
      </c>
      <c r="C3" s="19" t="s">
        <v>386</v>
      </c>
      <c r="D3" s="20" t="s">
        <v>387</v>
      </c>
      <c r="E3" s="18" t="s">
        <v>388</v>
      </c>
      <c r="F3" s="19" t="s">
        <v>389</v>
      </c>
      <c r="G3" s="18" t="s">
        <v>390</v>
      </c>
      <c r="H3" s="18" t="s">
        <v>391</v>
      </c>
      <c r="I3" s="17"/>
      <c r="J3" s="17"/>
      <c r="K3" s="17"/>
      <c r="L3" s="17"/>
      <c r="M3" s="17"/>
      <c r="N3" s="17"/>
      <c r="O3" s="17"/>
      <c r="P3" s="17"/>
      <c r="Q3" s="17"/>
      <c r="R3" s="17"/>
      <c r="S3" s="17"/>
      <c r="T3" s="17"/>
      <c r="U3" s="17"/>
      <c r="V3" s="17"/>
      <c r="W3" s="17"/>
      <c r="X3" s="17"/>
      <c r="Y3" s="17"/>
      <c r="Z3" s="17"/>
      <c r="AA3" s="17"/>
      <c r="AB3" s="17"/>
      <c r="AC3" s="17"/>
    </row>
    <row r="4">
      <c r="A4" s="21">
        <v>1.0</v>
      </c>
      <c r="B4" s="22">
        <v>3.03224004E9</v>
      </c>
      <c r="C4" s="23" t="s">
        <v>197</v>
      </c>
      <c r="D4" s="24">
        <f>VLOOKUP(C4,'data d3'!C:L,10,0)</f>
        <v>45797</v>
      </c>
      <c r="E4" s="25"/>
      <c r="F4" s="26"/>
      <c r="G4" s="25"/>
      <c r="H4" s="25"/>
      <c r="I4" s="27"/>
      <c r="J4" s="17"/>
      <c r="K4" s="17"/>
      <c r="L4" s="17"/>
      <c r="M4" s="17"/>
      <c r="N4" s="17"/>
      <c r="O4" s="17"/>
      <c r="P4" s="17"/>
      <c r="Q4" s="17"/>
      <c r="R4" s="17"/>
      <c r="S4" s="17"/>
      <c r="T4" s="17"/>
      <c r="U4" s="17"/>
      <c r="V4" s="17"/>
      <c r="W4" s="17"/>
      <c r="X4" s="17"/>
      <c r="Y4" s="17"/>
      <c r="Z4" s="17"/>
      <c r="AA4" s="17"/>
      <c r="AB4" s="17"/>
      <c r="AC4" s="17"/>
    </row>
    <row r="5">
      <c r="A5" s="21">
        <v>2.0</v>
      </c>
      <c r="B5" s="22">
        <v>3.032240016E9</v>
      </c>
      <c r="C5" s="23" t="s">
        <v>109</v>
      </c>
      <c r="D5" s="24">
        <f>VLOOKUP(C5,'data d3'!C:L,10,0)</f>
        <v>45892</v>
      </c>
      <c r="E5" s="25"/>
      <c r="F5" s="26"/>
      <c r="G5" s="25"/>
      <c r="H5" s="25"/>
      <c r="I5" s="27"/>
      <c r="J5" s="17"/>
      <c r="K5" s="17"/>
      <c r="L5" s="17"/>
      <c r="M5" s="17"/>
      <c r="N5" s="17"/>
      <c r="O5" s="17"/>
      <c r="P5" s="17"/>
      <c r="Q5" s="17"/>
      <c r="R5" s="17"/>
      <c r="S5" s="17"/>
      <c r="T5" s="17"/>
      <c r="U5" s="17"/>
      <c r="V5" s="17"/>
      <c r="W5" s="17"/>
      <c r="X5" s="17"/>
      <c r="Y5" s="17"/>
      <c r="Z5" s="17"/>
      <c r="AA5" s="17"/>
      <c r="AB5" s="17"/>
      <c r="AC5" s="17"/>
    </row>
    <row r="6">
      <c r="A6" s="21">
        <v>3.0</v>
      </c>
      <c r="B6" s="22">
        <v>3.032240008E9</v>
      </c>
      <c r="C6" s="23" t="s">
        <v>392</v>
      </c>
      <c r="D6" s="24">
        <f>VLOOKUP(C6,'data d3'!C:L,10,0)</f>
        <v>45740</v>
      </c>
      <c r="E6" s="25"/>
      <c r="F6" s="26"/>
      <c r="G6" s="25"/>
      <c r="H6" s="25"/>
      <c r="I6" s="27"/>
      <c r="J6" s="17"/>
      <c r="K6" s="17"/>
      <c r="L6" s="17"/>
      <c r="M6" s="17"/>
      <c r="N6" s="17"/>
      <c r="O6" s="17"/>
      <c r="P6" s="17"/>
      <c r="Q6" s="17"/>
      <c r="R6" s="17"/>
      <c r="S6" s="17"/>
      <c r="T6" s="17"/>
      <c r="U6" s="17"/>
      <c r="V6" s="17"/>
      <c r="W6" s="17"/>
      <c r="X6" s="17"/>
      <c r="Y6" s="17"/>
      <c r="Z6" s="17"/>
      <c r="AA6" s="17"/>
      <c r="AB6" s="17"/>
      <c r="AC6" s="17"/>
    </row>
    <row r="7">
      <c r="A7" s="21">
        <v>4.0</v>
      </c>
      <c r="B7" s="22">
        <v>3.03224003E9</v>
      </c>
      <c r="C7" s="23" t="s">
        <v>393</v>
      </c>
      <c r="D7" s="24">
        <f>VLOOKUP(C7,'data d3'!C:L,10,0)</f>
        <v>45801</v>
      </c>
      <c r="E7" s="28" t="s">
        <v>394</v>
      </c>
      <c r="F7" s="29" t="s">
        <v>395</v>
      </c>
      <c r="G7" s="30" t="s">
        <v>396</v>
      </c>
      <c r="H7" s="28" t="s">
        <v>397</v>
      </c>
      <c r="I7" s="27"/>
      <c r="J7" s="17"/>
      <c r="K7" s="17"/>
      <c r="L7" s="17"/>
      <c r="M7" s="17"/>
      <c r="N7" s="17"/>
      <c r="O7" s="17"/>
      <c r="P7" s="17"/>
      <c r="Q7" s="17"/>
      <c r="R7" s="17"/>
      <c r="S7" s="17"/>
      <c r="T7" s="17"/>
      <c r="U7" s="17"/>
      <c r="V7" s="17"/>
      <c r="W7" s="17"/>
      <c r="X7" s="17"/>
      <c r="Y7" s="17"/>
      <c r="Z7" s="17"/>
      <c r="AA7" s="17"/>
      <c r="AB7" s="17"/>
      <c r="AC7" s="17"/>
    </row>
    <row r="8">
      <c r="A8" s="21">
        <v>5.0</v>
      </c>
      <c r="B8" s="22">
        <v>3.03224001E9</v>
      </c>
      <c r="C8" s="23" t="s">
        <v>398</v>
      </c>
      <c r="D8" s="24">
        <f>VLOOKUP(C8,'data d3'!C:L,10,0)</f>
        <v>45984</v>
      </c>
      <c r="E8" s="25"/>
      <c r="F8" s="26"/>
      <c r="G8" s="25"/>
      <c r="H8" s="25"/>
      <c r="I8" s="27"/>
      <c r="J8" s="17"/>
      <c r="K8" s="17"/>
      <c r="L8" s="17"/>
      <c r="M8" s="17"/>
      <c r="N8" s="17"/>
      <c r="O8" s="17"/>
      <c r="P8" s="17"/>
      <c r="Q8" s="17"/>
      <c r="R8" s="17"/>
      <c r="S8" s="17"/>
      <c r="T8" s="17"/>
      <c r="U8" s="17"/>
      <c r="V8" s="17"/>
      <c r="W8" s="17"/>
      <c r="X8" s="17"/>
      <c r="Y8" s="17"/>
      <c r="Z8" s="17"/>
      <c r="AA8" s="17"/>
      <c r="AB8" s="17"/>
      <c r="AC8" s="17"/>
    </row>
    <row r="9">
      <c r="A9" s="21">
        <v>6.0</v>
      </c>
      <c r="B9" s="22">
        <v>3.032240027E9</v>
      </c>
      <c r="C9" s="23" t="s">
        <v>114</v>
      </c>
      <c r="D9" s="24">
        <f>VLOOKUP(C9,'data d3'!C:L,10,0)</f>
        <v>45901</v>
      </c>
      <c r="E9" s="28" t="s">
        <v>399</v>
      </c>
      <c r="F9" s="29" t="s">
        <v>400</v>
      </c>
      <c r="G9" s="30" t="s">
        <v>401</v>
      </c>
      <c r="H9" s="30" t="s">
        <v>402</v>
      </c>
      <c r="I9" s="27"/>
      <c r="J9" s="17"/>
      <c r="K9" s="17"/>
      <c r="L9" s="17"/>
      <c r="M9" s="17"/>
      <c r="N9" s="17"/>
      <c r="O9" s="17"/>
      <c r="P9" s="17"/>
      <c r="Q9" s="17"/>
      <c r="R9" s="17"/>
      <c r="S9" s="17"/>
      <c r="T9" s="17"/>
      <c r="U9" s="17"/>
      <c r="V9" s="17"/>
      <c r="W9" s="17"/>
      <c r="X9" s="17"/>
      <c r="Y9" s="17"/>
      <c r="Z9" s="17"/>
      <c r="AA9" s="17"/>
      <c r="AB9" s="17"/>
      <c r="AC9" s="17"/>
    </row>
    <row r="10">
      <c r="A10" s="21"/>
      <c r="B10" s="22"/>
      <c r="C10" s="23"/>
      <c r="D10" s="24"/>
      <c r="E10" s="25"/>
      <c r="F10" s="29"/>
      <c r="G10" s="25"/>
      <c r="H10" s="25"/>
      <c r="I10" s="27"/>
      <c r="J10" s="17"/>
      <c r="K10" s="17"/>
      <c r="L10" s="17"/>
      <c r="M10" s="17"/>
      <c r="N10" s="17"/>
      <c r="O10" s="17"/>
      <c r="P10" s="17"/>
      <c r="Q10" s="17"/>
      <c r="R10" s="17"/>
      <c r="S10" s="17"/>
      <c r="T10" s="17"/>
      <c r="U10" s="17"/>
      <c r="V10" s="17"/>
      <c r="W10" s="17"/>
      <c r="X10" s="17"/>
      <c r="Y10" s="17"/>
      <c r="Z10" s="17"/>
      <c r="AA10" s="17"/>
      <c r="AB10" s="17"/>
      <c r="AC10" s="17"/>
    </row>
    <row r="11">
      <c r="A11" s="21">
        <v>8.0</v>
      </c>
      <c r="B11" s="22">
        <v>3.032240044E9</v>
      </c>
      <c r="C11" s="23" t="s">
        <v>166</v>
      </c>
      <c r="D11" s="24">
        <f>VLOOKUP(C11,'data d3'!C:L,10,0)</f>
        <v>45966</v>
      </c>
      <c r="E11" s="28" t="s">
        <v>403</v>
      </c>
      <c r="F11" s="29" t="s">
        <v>404</v>
      </c>
      <c r="G11" s="25"/>
      <c r="H11" s="25"/>
      <c r="I11" s="27"/>
      <c r="J11" s="17"/>
      <c r="K11" s="17"/>
      <c r="L11" s="17"/>
      <c r="M11" s="17"/>
      <c r="N11" s="17"/>
      <c r="O11" s="17"/>
      <c r="P11" s="17"/>
      <c r="Q11" s="17"/>
      <c r="R11" s="17"/>
      <c r="S11" s="17"/>
      <c r="T11" s="17"/>
      <c r="U11" s="17"/>
      <c r="V11" s="17"/>
      <c r="W11" s="17"/>
      <c r="X11" s="17"/>
      <c r="Y11" s="17"/>
      <c r="Z11" s="17"/>
      <c r="AA11" s="17"/>
      <c r="AB11" s="17"/>
      <c r="AC11" s="17"/>
    </row>
    <row r="12">
      <c r="A12" s="21">
        <v>9.0</v>
      </c>
      <c r="B12" s="22">
        <v>3.032240029E9</v>
      </c>
      <c r="C12" s="23" t="s">
        <v>405</v>
      </c>
      <c r="D12" s="24">
        <f>VLOOKUP(C12,'data d3'!C:L,10,0)</f>
        <v>45714</v>
      </c>
      <c r="E12" s="25"/>
      <c r="F12" s="26"/>
      <c r="G12" s="25"/>
      <c r="H12" s="25"/>
      <c r="I12" s="27"/>
      <c r="J12" s="17"/>
      <c r="K12" s="17"/>
      <c r="L12" s="17"/>
      <c r="M12" s="17"/>
      <c r="N12" s="17"/>
      <c r="O12" s="17"/>
      <c r="P12" s="17"/>
      <c r="Q12" s="17"/>
      <c r="R12" s="17"/>
      <c r="S12" s="17"/>
      <c r="T12" s="17"/>
      <c r="U12" s="17"/>
      <c r="V12" s="17"/>
      <c r="W12" s="17"/>
      <c r="X12" s="17"/>
      <c r="Y12" s="17"/>
      <c r="Z12" s="17"/>
      <c r="AA12" s="17"/>
      <c r="AB12" s="17"/>
      <c r="AC12" s="17"/>
    </row>
    <row r="13">
      <c r="A13" s="21">
        <v>10.0</v>
      </c>
      <c r="B13" s="22">
        <v>3.032240038E9</v>
      </c>
      <c r="C13" s="23" t="s">
        <v>406</v>
      </c>
      <c r="D13" s="24">
        <f>VLOOKUP(C13,'data d3'!C:L,10,0)</f>
        <v>45784</v>
      </c>
      <c r="E13" s="25"/>
      <c r="F13" s="26"/>
      <c r="G13" s="25"/>
      <c r="H13" s="25"/>
      <c r="I13" s="27"/>
      <c r="J13" s="17"/>
      <c r="K13" s="17"/>
      <c r="L13" s="17"/>
      <c r="M13" s="17"/>
      <c r="N13" s="17"/>
      <c r="O13" s="17"/>
      <c r="P13" s="17"/>
      <c r="Q13" s="17"/>
      <c r="R13" s="17"/>
      <c r="S13" s="17"/>
      <c r="T13" s="17"/>
      <c r="U13" s="17"/>
      <c r="V13" s="17"/>
      <c r="W13" s="17"/>
      <c r="X13" s="17"/>
      <c r="Y13" s="17"/>
      <c r="Z13" s="17"/>
      <c r="AA13" s="17"/>
      <c r="AB13" s="17"/>
      <c r="AC13" s="17"/>
    </row>
    <row r="14">
      <c r="A14" s="21">
        <v>11.0</v>
      </c>
      <c r="B14" s="22">
        <v>3.032240018E9</v>
      </c>
      <c r="C14" s="23" t="s">
        <v>407</v>
      </c>
      <c r="D14" s="24">
        <f>VLOOKUP(C14,'data d3'!C:L,10,0)</f>
        <v>45807</v>
      </c>
      <c r="E14" s="25"/>
      <c r="F14" s="26"/>
      <c r="G14" s="25"/>
      <c r="H14" s="25"/>
      <c r="I14" s="27"/>
      <c r="J14" s="17"/>
      <c r="K14" s="17"/>
      <c r="L14" s="17"/>
      <c r="M14" s="17"/>
      <c r="N14" s="17"/>
      <c r="O14" s="17"/>
      <c r="P14" s="17"/>
      <c r="Q14" s="17"/>
      <c r="R14" s="17"/>
      <c r="S14" s="17"/>
      <c r="T14" s="17"/>
      <c r="U14" s="17"/>
      <c r="V14" s="17"/>
      <c r="W14" s="17"/>
      <c r="X14" s="17"/>
      <c r="Y14" s="17"/>
      <c r="Z14" s="17"/>
      <c r="AA14" s="17"/>
      <c r="AB14" s="17"/>
      <c r="AC14" s="17"/>
    </row>
    <row r="15">
      <c r="A15" s="21">
        <v>12.0</v>
      </c>
      <c r="B15" s="22">
        <v>3.032240048E9</v>
      </c>
      <c r="C15" s="23" t="s">
        <v>408</v>
      </c>
      <c r="D15" s="24">
        <f>VLOOKUP(C15,'data d3'!C:L,10,0)</f>
        <v>45810</v>
      </c>
      <c r="E15" s="21" t="s">
        <v>409</v>
      </c>
      <c r="F15" s="31" t="s">
        <v>410</v>
      </c>
      <c r="G15" s="21">
        <v>8.5833060832E10</v>
      </c>
      <c r="H15" s="21">
        <v>8.1362111648E10</v>
      </c>
      <c r="I15" s="27"/>
      <c r="J15" s="17"/>
      <c r="K15" s="17"/>
      <c r="L15" s="17"/>
      <c r="M15" s="17"/>
      <c r="N15" s="17"/>
      <c r="O15" s="17"/>
      <c r="P15" s="17"/>
      <c r="Q15" s="17"/>
      <c r="R15" s="17"/>
      <c r="S15" s="17"/>
      <c r="T15" s="17"/>
      <c r="U15" s="17"/>
      <c r="V15" s="17"/>
      <c r="W15" s="17"/>
      <c r="X15" s="17"/>
      <c r="Y15" s="17"/>
      <c r="Z15" s="17"/>
      <c r="AA15" s="17"/>
      <c r="AB15" s="17"/>
      <c r="AC15" s="17"/>
    </row>
    <row r="16">
      <c r="A16" s="21">
        <v>13.0</v>
      </c>
      <c r="B16" s="22">
        <v>3.032240083E9</v>
      </c>
      <c r="C16" s="23" t="s">
        <v>12</v>
      </c>
      <c r="D16" s="24">
        <f>VLOOKUP(C16,'data d3'!C:L,10,0)</f>
        <v>45861</v>
      </c>
      <c r="E16" s="25"/>
      <c r="F16" s="26"/>
      <c r="G16" s="25"/>
      <c r="H16" s="25"/>
      <c r="I16" s="27"/>
      <c r="J16" s="17"/>
      <c r="K16" s="17"/>
      <c r="L16" s="17"/>
      <c r="M16" s="17"/>
      <c r="N16" s="17"/>
      <c r="O16" s="17"/>
      <c r="P16" s="17"/>
      <c r="Q16" s="17"/>
      <c r="R16" s="17"/>
      <c r="S16" s="17"/>
      <c r="T16" s="17"/>
      <c r="U16" s="17"/>
      <c r="V16" s="17"/>
      <c r="W16" s="17"/>
      <c r="X16" s="17"/>
      <c r="Y16" s="17"/>
      <c r="Z16" s="17"/>
      <c r="AA16" s="17"/>
      <c r="AB16" s="17"/>
      <c r="AC16" s="17"/>
    </row>
    <row r="17">
      <c r="A17" s="21">
        <v>14.0</v>
      </c>
      <c r="B17" s="22">
        <v>3.032240056E9</v>
      </c>
      <c r="C17" s="23" t="s">
        <v>411</v>
      </c>
      <c r="D17" s="24">
        <f>VLOOKUP(C17,'data d3'!C:L,10,0)</f>
        <v>45913</v>
      </c>
      <c r="E17" s="25"/>
      <c r="F17" s="26"/>
      <c r="G17" s="25"/>
      <c r="H17" s="25"/>
      <c r="I17" s="27"/>
      <c r="J17" s="17"/>
      <c r="K17" s="17"/>
      <c r="L17" s="17"/>
      <c r="M17" s="17"/>
      <c r="N17" s="17"/>
      <c r="O17" s="17"/>
      <c r="P17" s="17"/>
      <c r="Q17" s="17"/>
      <c r="R17" s="17"/>
      <c r="S17" s="17"/>
      <c r="T17" s="17"/>
      <c r="U17" s="17"/>
      <c r="V17" s="17"/>
      <c r="W17" s="17"/>
      <c r="X17" s="17"/>
      <c r="Y17" s="17"/>
      <c r="Z17" s="17"/>
      <c r="AA17" s="17"/>
      <c r="AB17" s="17"/>
      <c r="AC17" s="17"/>
    </row>
    <row r="18">
      <c r="A18" s="21">
        <v>15.0</v>
      </c>
      <c r="B18" s="22">
        <v>3.032240093E9</v>
      </c>
      <c r="C18" s="23" t="s">
        <v>412</v>
      </c>
      <c r="D18" s="24">
        <f>VLOOKUP(C18,'data d3'!C:L,10,0)</f>
        <v>45845</v>
      </c>
      <c r="E18" s="28" t="s">
        <v>413</v>
      </c>
      <c r="F18" s="29" t="s">
        <v>414</v>
      </c>
      <c r="G18" s="30" t="s">
        <v>415</v>
      </c>
      <c r="H18" s="30" t="s">
        <v>416</v>
      </c>
      <c r="I18" s="27"/>
      <c r="J18" s="17"/>
      <c r="K18" s="17"/>
      <c r="L18" s="17"/>
      <c r="M18" s="17"/>
      <c r="N18" s="17"/>
      <c r="O18" s="17"/>
      <c r="P18" s="17"/>
      <c r="Q18" s="17"/>
      <c r="R18" s="17"/>
      <c r="S18" s="17"/>
      <c r="T18" s="17"/>
      <c r="U18" s="17"/>
      <c r="V18" s="17"/>
      <c r="W18" s="17"/>
      <c r="X18" s="17"/>
      <c r="Y18" s="17"/>
      <c r="Z18" s="17"/>
      <c r="AA18" s="17"/>
      <c r="AB18" s="17"/>
      <c r="AC18" s="17"/>
    </row>
    <row r="19">
      <c r="A19" s="21">
        <v>16.0</v>
      </c>
      <c r="B19" s="22">
        <v>3.032240066E9</v>
      </c>
      <c r="C19" s="23" t="s">
        <v>417</v>
      </c>
      <c r="D19" s="24">
        <f>VLOOKUP(C19,'data d3'!C:L,10,0)</f>
        <v>45715</v>
      </c>
      <c r="E19" s="25"/>
      <c r="F19" s="26"/>
      <c r="G19" s="25"/>
      <c r="H19" s="25"/>
      <c r="I19" s="27"/>
      <c r="J19" s="17"/>
      <c r="K19" s="17"/>
      <c r="L19" s="17"/>
      <c r="M19" s="17"/>
      <c r="N19" s="17"/>
      <c r="O19" s="17"/>
      <c r="P19" s="17"/>
      <c r="Q19" s="17"/>
      <c r="R19" s="17"/>
      <c r="S19" s="17"/>
      <c r="T19" s="17"/>
      <c r="U19" s="17"/>
      <c r="V19" s="17"/>
      <c r="W19" s="17"/>
      <c r="X19" s="17"/>
      <c r="Y19" s="17"/>
      <c r="Z19" s="17"/>
      <c r="AA19" s="17"/>
      <c r="AB19" s="17"/>
      <c r="AC19" s="17"/>
    </row>
    <row r="20">
      <c r="A20" s="21">
        <v>17.0</v>
      </c>
      <c r="B20" s="22">
        <v>3.032240078E9</v>
      </c>
      <c r="C20" s="23" t="s">
        <v>17</v>
      </c>
      <c r="D20" s="24">
        <f>VLOOKUP(C20,'data d3'!C:L,10,0)</f>
        <v>45974</v>
      </c>
      <c r="E20" s="28" t="s">
        <v>418</v>
      </c>
      <c r="F20" s="29" t="s">
        <v>419</v>
      </c>
      <c r="G20" s="30" t="s">
        <v>420</v>
      </c>
      <c r="H20" s="28">
        <v>6.281293746097E12</v>
      </c>
      <c r="I20" s="27"/>
      <c r="J20" s="17"/>
      <c r="K20" s="17"/>
      <c r="L20" s="17"/>
      <c r="M20" s="17"/>
      <c r="N20" s="17"/>
      <c r="O20" s="17"/>
      <c r="P20" s="17"/>
      <c r="Q20" s="17"/>
      <c r="R20" s="17"/>
      <c r="S20" s="17"/>
      <c r="T20" s="17"/>
      <c r="U20" s="17"/>
      <c r="V20" s="17"/>
      <c r="W20" s="17"/>
      <c r="X20" s="17"/>
      <c r="Y20" s="17"/>
      <c r="Z20" s="17"/>
      <c r="AA20" s="17"/>
      <c r="AB20" s="17"/>
      <c r="AC20" s="17"/>
    </row>
    <row r="21">
      <c r="A21" s="21">
        <v>18.0</v>
      </c>
      <c r="B21" s="22">
        <v>3.032240071E9</v>
      </c>
      <c r="C21" s="23" t="s">
        <v>421</v>
      </c>
      <c r="D21" s="24">
        <f>VLOOKUP(C21,'data d3'!C:L,10,0)</f>
        <v>46005</v>
      </c>
      <c r="E21" s="28" t="s">
        <v>422</v>
      </c>
      <c r="F21" s="29" t="s">
        <v>423</v>
      </c>
      <c r="G21" s="25"/>
      <c r="H21" s="25"/>
      <c r="I21" s="27"/>
      <c r="J21" s="17"/>
      <c r="K21" s="17"/>
      <c r="L21" s="17"/>
      <c r="M21" s="17"/>
      <c r="N21" s="17"/>
      <c r="O21" s="17"/>
      <c r="P21" s="17"/>
      <c r="Q21" s="17"/>
      <c r="R21" s="17"/>
      <c r="S21" s="17"/>
      <c r="T21" s="17"/>
      <c r="U21" s="17"/>
      <c r="V21" s="17"/>
      <c r="W21" s="17"/>
      <c r="X21" s="17"/>
      <c r="Y21" s="17"/>
      <c r="Z21" s="17"/>
      <c r="AA21" s="17"/>
      <c r="AB21" s="17"/>
      <c r="AC21" s="17"/>
    </row>
    <row r="22">
      <c r="A22" s="21">
        <v>19.0</v>
      </c>
      <c r="B22" s="22">
        <v>3.032240094E9</v>
      </c>
      <c r="C22" s="23" t="s">
        <v>424</v>
      </c>
      <c r="D22" s="24">
        <f>VLOOKUP(C22,'data d3'!C:L,10,0)</f>
        <v>45984</v>
      </c>
      <c r="E22" s="25"/>
      <c r="F22" s="26"/>
      <c r="G22" s="25"/>
      <c r="H22" s="25"/>
      <c r="I22" s="27"/>
      <c r="J22" s="17"/>
      <c r="K22" s="17"/>
      <c r="L22" s="17"/>
      <c r="M22" s="17"/>
      <c r="N22" s="17"/>
      <c r="O22" s="17"/>
      <c r="P22" s="17"/>
      <c r="Q22" s="17"/>
      <c r="R22" s="17"/>
      <c r="S22" s="17"/>
      <c r="T22" s="17"/>
      <c r="U22" s="17"/>
      <c r="V22" s="17"/>
      <c r="W22" s="17"/>
      <c r="X22" s="17"/>
      <c r="Y22" s="17"/>
      <c r="Z22" s="17"/>
      <c r="AA22" s="17"/>
      <c r="AB22" s="17"/>
      <c r="AC22" s="17"/>
    </row>
    <row r="23">
      <c r="A23" s="21">
        <v>20.0</v>
      </c>
      <c r="B23" s="22">
        <v>3.032240054E9</v>
      </c>
      <c r="C23" s="23" t="s">
        <v>425</v>
      </c>
      <c r="D23" s="24">
        <f>VLOOKUP(C23,'data d3'!C:L,10,0)</f>
        <v>45717</v>
      </c>
      <c r="E23" s="28" t="s">
        <v>426</v>
      </c>
      <c r="F23" s="29" t="s">
        <v>427</v>
      </c>
      <c r="G23" s="30" t="s">
        <v>428</v>
      </c>
      <c r="H23" s="30" t="s">
        <v>429</v>
      </c>
      <c r="I23" s="27"/>
      <c r="J23" s="17"/>
      <c r="K23" s="17"/>
      <c r="L23" s="17"/>
      <c r="M23" s="17"/>
      <c r="N23" s="17"/>
      <c r="O23" s="17"/>
      <c r="P23" s="17"/>
      <c r="Q23" s="17"/>
      <c r="R23" s="17"/>
      <c r="S23" s="17"/>
      <c r="T23" s="17"/>
      <c r="U23" s="17"/>
      <c r="V23" s="17"/>
      <c r="W23" s="17"/>
      <c r="X23" s="17"/>
      <c r="Y23" s="17"/>
      <c r="Z23" s="17"/>
      <c r="AA23" s="17"/>
      <c r="AB23" s="17"/>
      <c r="AC23" s="17"/>
    </row>
    <row r="24">
      <c r="A24" s="21">
        <v>21.0</v>
      </c>
      <c r="B24" s="22">
        <v>3.03224007E9</v>
      </c>
      <c r="C24" s="23" t="s">
        <v>430</v>
      </c>
      <c r="D24" s="24">
        <f>VLOOKUP(C24,'data d3'!C:L,10,0)</f>
        <v>45881</v>
      </c>
      <c r="E24" s="28" t="s">
        <v>399</v>
      </c>
      <c r="F24" s="29" t="s">
        <v>400</v>
      </c>
      <c r="G24" s="30" t="s">
        <v>431</v>
      </c>
      <c r="H24" s="30" t="s">
        <v>402</v>
      </c>
      <c r="I24" s="27"/>
      <c r="J24" s="17"/>
      <c r="K24" s="17"/>
      <c r="L24" s="17"/>
      <c r="M24" s="17"/>
      <c r="N24" s="17"/>
      <c r="O24" s="17"/>
      <c r="P24" s="17"/>
      <c r="Q24" s="17"/>
      <c r="R24" s="17"/>
      <c r="S24" s="17"/>
      <c r="T24" s="17"/>
      <c r="U24" s="17"/>
      <c r="V24" s="17"/>
      <c r="W24" s="17"/>
      <c r="X24" s="17"/>
      <c r="Y24" s="17"/>
      <c r="Z24" s="17"/>
      <c r="AA24" s="17"/>
      <c r="AB24" s="17"/>
      <c r="AC24" s="17"/>
    </row>
    <row r="25">
      <c r="A25" s="21">
        <v>22.0</v>
      </c>
      <c r="B25" s="22">
        <v>3.032240075E9</v>
      </c>
      <c r="C25" s="23" t="s">
        <v>432</v>
      </c>
      <c r="D25" s="24">
        <f>VLOOKUP(C25,'data d3'!C:L,10,0)</f>
        <v>45795</v>
      </c>
      <c r="E25" s="25"/>
      <c r="F25" s="26"/>
      <c r="G25" s="25"/>
      <c r="H25" s="25"/>
      <c r="I25" s="27"/>
      <c r="J25" s="17"/>
      <c r="K25" s="17"/>
      <c r="L25" s="17"/>
      <c r="M25" s="17"/>
      <c r="N25" s="17"/>
      <c r="O25" s="17"/>
      <c r="P25" s="17"/>
      <c r="Q25" s="17"/>
      <c r="R25" s="17"/>
      <c r="S25" s="17"/>
      <c r="T25" s="17"/>
      <c r="U25" s="17"/>
      <c r="V25" s="17"/>
      <c r="W25" s="17"/>
      <c r="X25" s="17"/>
      <c r="Y25" s="17"/>
      <c r="Z25" s="17"/>
      <c r="AA25" s="17"/>
      <c r="AB25" s="17"/>
      <c r="AC25" s="17"/>
    </row>
    <row r="26">
      <c r="A26" s="21">
        <v>23.0</v>
      </c>
      <c r="B26" s="22">
        <v>3.032240087E9</v>
      </c>
      <c r="C26" s="32" t="s">
        <v>433</v>
      </c>
      <c r="D26" s="24">
        <f>VLOOKUP(C26,'data d3'!C:L,10,0)</f>
        <v>45738</v>
      </c>
      <c r="E26" s="28" t="s">
        <v>434</v>
      </c>
      <c r="F26" s="29" t="s">
        <v>435</v>
      </c>
      <c r="G26" s="28">
        <v>6.281548670691E12</v>
      </c>
      <c r="H26" s="28">
        <v>8.1320420429E10</v>
      </c>
      <c r="I26" s="27"/>
      <c r="J26" s="17"/>
      <c r="K26" s="17"/>
      <c r="L26" s="17"/>
      <c r="M26" s="17"/>
      <c r="N26" s="17"/>
      <c r="O26" s="17"/>
      <c r="P26" s="17"/>
      <c r="Q26" s="17"/>
      <c r="R26" s="17"/>
      <c r="S26" s="17"/>
      <c r="T26" s="17"/>
      <c r="U26" s="17"/>
      <c r="V26" s="17"/>
      <c r="W26" s="17"/>
      <c r="X26" s="17"/>
      <c r="Y26" s="17"/>
      <c r="Z26" s="17"/>
      <c r="AA26" s="17"/>
      <c r="AB26" s="17"/>
      <c r="AC26" s="17"/>
    </row>
    <row r="27">
      <c r="A27" s="21">
        <v>24.0</v>
      </c>
      <c r="B27" s="22">
        <v>3.032240047E9</v>
      </c>
      <c r="C27" s="23" t="s">
        <v>436</v>
      </c>
      <c r="D27" s="24">
        <f>VLOOKUP(C27,'data d3'!C:L,10,0)</f>
        <v>45794</v>
      </c>
      <c r="E27" s="21" t="s">
        <v>409</v>
      </c>
      <c r="F27" s="31" t="s">
        <v>410</v>
      </c>
      <c r="G27" s="21">
        <v>8.5833060832E10</v>
      </c>
      <c r="H27" s="21">
        <v>8.1362111648E10</v>
      </c>
      <c r="I27" s="27"/>
      <c r="J27" s="17"/>
      <c r="K27" s="17"/>
      <c r="L27" s="17"/>
      <c r="M27" s="17"/>
      <c r="N27" s="17"/>
      <c r="O27" s="17"/>
      <c r="P27" s="17"/>
      <c r="Q27" s="17"/>
      <c r="R27" s="17"/>
      <c r="S27" s="17"/>
      <c r="T27" s="17"/>
      <c r="U27" s="17"/>
      <c r="V27" s="17"/>
      <c r="W27" s="17"/>
      <c r="X27" s="17"/>
      <c r="Y27" s="17"/>
      <c r="Z27" s="17"/>
      <c r="AA27" s="17"/>
      <c r="AB27" s="17"/>
      <c r="AC27" s="17"/>
    </row>
    <row r="28">
      <c r="A28" s="21">
        <v>25.0</v>
      </c>
      <c r="B28" s="22">
        <v>3.032240055E9</v>
      </c>
      <c r="C28" s="23" t="s">
        <v>155</v>
      </c>
      <c r="D28" s="24">
        <f>VLOOKUP(C28,'data d3'!C:L,10,0)</f>
        <v>45661</v>
      </c>
      <c r="E28" s="28" t="s">
        <v>437</v>
      </c>
      <c r="F28" s="29" t="s">
        <v>427</v>
      </c>
      <c r="G28" s="30" t="s">
        <v>438</v>
      </c>
      <c r="H28" s="30" t="s">
        <v>429</v>
      </c>
      <c r="I28" s="27"/>
      <c r="J28" s="17"/>
      <c r="K28" s="17"/>
      <c r="L28" s="17"/>
      <c r="M28" s="17"/>
      <c r="N28" s="17"/>
      <c r="O28" s="17"/>
      <c r="P28" s="17"/>
      <c r="Q28" s="17"/>
      <c r="R28" s="17"/>
      <c r="S28" s="17"/>
      <c r="T28" s="17"/>
      <c r="U28" s="17"/>
      <c r="V28" s="17"/>
      <c r="W28" s="17"/>
      <c r="X28" s="17"/>
      <c r="Y28" s="17"/>
      <c r="Z28" s="17"/>
      <c r="AA28" s="17"/>
      <c r="AB28" s="17"/>
      <c r="AC28" s="17"/>
    </row>
    <row r="29">
      <c r="A29" s="21">
        <v>26.0</v>
      </c>
      <c r="B29" s="22">
        <v>3.032240057E9</v>
      </c>
      <c r="C29" s="23" t="s">
        <v>439</v>
      </c>
      <c r="D29" s="24">
        <f>VLOOKUP(C29,'data d3'!C:L,10,0)</f>
        <v>45966</v>
      </c>
      <c r="E29" s="28" t="s">
        <v>440</v>
      </c>
      <c r="F29" s="29" t="s">
        <v>441</v>
      </c>
      <c r="G29" s="28">
        <v>8.1333512604E10</v>
      </c>
      <c r="H29" s="28">
        <v>8.5600001622E10</v>
      </c>
      <c r="I29" s="27"/>
      <c r="J29" s="17"/>
      <c r="K29" s="17"/>
      <c r="L29" s="17"/>
      <c r="M29" s="17"/>
      <c r="N29" s="17"/>
      <c r="O29" s="17"/>
      <c r="P29" s="17"/>
      <c r="Q29" s="17"/>
      <c r="R29" s="17"/>
      <c r="S29" s="17"/>
      <c r="T29" s="17"/>
      <c r="U29" s="17"/>
      <c r="V29" s="17"/>
      <c r="W29" s="17"/>
      <c r="X29" s="17"/>
      <c r="Y29" s="17"/>
      <c r="Z29" s="17"/>
      <c r="AA29" s="17"/>
      <c r="AB29" s="17"/>
      <c r="AC29" s="17"/>
    </row>
    <row r="30">
      <c r="A30" s="21">
        <v>27.0</v>
      </c>
      <c r="B30" s="22">
        <v>3.032240088E9</v>
      </c>
      <c r="C30" s="32" t="s">
        <v>104</v>
      </c>
      <c r="D30" s="24">
        <f>VLOOKUP(C30,'data d3'!C:L,10,0)</f>
        <v>45664</v>
      </c>
      <c r="E30" s="28" t="s">
        <v>442</v>
      </c>
      <c r="F30" s="29" t="s">
        <v>443</v>
      </c>
      <c r="G30" s="30" t="s">
        <v>444</v>
      </c>
      <c r="H30" s="30" t="s">
        <v>445</v>
      </c>
      <c r="I30" s="27"/>
      <c r="J30" s="17"/>
      <c r="K30" s="17"/>
      <c r="L30" s="17"/>
      <c r="M30" s="17"/>
      <c r="N30" s="17"/>
      <c r="O30" s="17"/>
      <c r="P30" s="17"/>
      <c r="Q30" s="17"/>
      <c r="R30" s="17"/>
      <c r="S30" s="17"/>
      <c r="T30" s="17"/>
      <c r="U30" s="17"/>
      <c r="V30" s="17"/>
      <c r="W30" s="17"/>
      <c r="X30" s="17"/>
      <c r="Y30" s="17"/>
      <c r="Z30" s="17"/>
      <c r="AA30" s="17"/>
      <c r="AB30" s="17"/>
      <c r="AC30" s="17"/>
    </row>
    <row r="31">
      <c r="A31" s="33"/>
      <c r="B31" s="17"/>
      <c r="C31" s="34"/>
      <c r="D31" s="35"/>
      <c r="E31" s="17"/>
      <c r="F31" s="34"/>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34"/>
      <c r="D32" s="35"/>
      <c r="E32" s="17"/>
      <c r="F32" s="34"/>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34"/>
      <c r="D33" s="35"/>
      <c r="E33" s="17"/>
      <c r="F33" s="34"/>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34"/>
      <c r="D34" s="35"/>
      <c r="E34" s="17"/>
      <c r="F34" s="34"/>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34"/>
      <c r="D35" s="35"/>
      <c r="E35" s="17"/>
      <c r="F35" s="34"/>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34"/>
      <c r="D36" s="35"/>
      <c r="E36" s="17"/>
      <c r="F36" s="34"/>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34"/>
      <c r="D37" s="35"/>
      <c r="E37" s="17"/>
      <c r="F37" s="34"/>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34"/>
      <c r="D38" s="35"/>
      <c r="E38" s="17"/>
      <c r="F38" s="34"/>
      <c r="G38" s="17"/>
      <c r="H38" s="17"/>
      <c r="I38" s="17"/>
      <c r="J38" s="17"/>
      <c r="K38" s="17"/>
      <c r="L38" s="17"/>
      <c r="M38" s="17"/>
      <c r="N38" s="17"/>
      <c r="O38" s="17"/>
      <c r="P38" s="17"/>
      <c r="Q38" s="17"/>
      <c r="R38" s="17"/>
      <c r="S38" s="17"/>
      <c r="T38" s="17"/>
      <c r="U38" s="17"/>
      <c r="V38" s="17"/>
      <c r="W38" s="17"/>
      <c r="X38" s="17"/>
      <c r="Y38" s="17"/>
      <c r="Z38" s="17"/>
      <c r="AA38" s="17"/>
      <c r="AB38" s="17"/>
      <c r="AC38" s="17"/>
    </row>
    <row r="39">
      <c r="A39" s="17"/>
      <c r="B39" s="17"/>
      <c r="C39" s="34"/>
      <c r="D39" s="35"/>
      <c r="E39" s="17"/>
      <c r="F39" s="34"/>
      <c r="G39" s="17"/>
      <c r="H39" s="17"/>
      <c r="I39" s="17"/>
      <c r="J39" s="17"/>
      <c r="K39" s="17"/>
      <c r="L39" s="17"/>
      <c r="M39" s="17"/>
      <c r="N39" s="17"/>
      <c r="O39" s="17"/>
      <c r="P39" s="17"/>
      <c r="Q39" s="17"/>
      <c r="R39" s="17"/>
      <c r="S39" s="17"/>
      <c r="T39" s="17"/>
      <c r="U39" s="17"/>
      <c r="V39" s="17"/>
      <c r="W39" s="17"/>
      <c r="X39" s="17"/>
      <c r="Y39" s="17"/>
      <c r="Z39" s="17"/>
      <c r="AA39" s="17"/>
      <c r="AB39" s="17"/>
      <c r="AC39" s="17"/>
    </row>
    <row r="40">
      <c r="A40" s="17"/>
      <c r="B40" s="17"/>
      <c r="C40" s="34"/>
      <c r="D40" s="35"/>
      <c r="E40" s="17"/>
      <c r="F40" s="34"/>
      <c r="G40" s="17"/>
      <c r="H40" s="17"/>
      <c r="I40" s="17"/>
      <c r="J40" s="17"/>
      <c r="K40" s="17"/>
      <c r="L40" s="17"/>
      <c r="M40" s="17"/>
      <c r="N40" s="17"/>
      <c r="O40" s="17"/>
      <c r="P40" s="17"/>
      <c r="Q40" s="17"/>
      <c r="R40" s="17"/>
      <c r="S40" s="17"/>
      <c r="T40" s="17"/>
      <c r="U40" s="17"/>
      <c r="V40" s="17"/>
      <c r="W40" s="17"/>
      <c r="X40" s="17"/>
      <c r="Y40" s="17"/>
      <c r="Z40" s="17"/>
      <c r="AA40" s="17"/>
      <c r="AB40" s="17"/>
      <c r="AC40" s="17"/>
    </row>
    <row r="41">
      <c r="A41" s="17"/>
      <c r="B41" s="17"/>
      <c r="C41" s="34"/>
      <c r="D41" s="35"/>
      <c r="E41" s="17"/>
      <c r="F41" s="34"/>
      <c r="G41" s="17"/>
      <c r="H41" s="17"/>
      <c r="I41" s="17"/>
      <c r="J41" s="17"/>
      <c r="K41" s="17"/>
      <c r="L41" s="17"/>
      <c r="M41" s="17"/>
      <c r="N41" s="17"/>
      <c r="O41" s="17"/>
      <c r="P41" s="17"/>
      <c r="Q41" s="17"/>
      <c r="R41" s="17"/>
      <c r="S41" s="17"/>
      <c r="T41" s="17"/>
      <c r="U41" s="17"/>
      <c r="V41" s="17"/>
      <c r="W41" s="17"/>
      <c r="X41" s="17"/>
      <c r="Y41" s="17"/>
      <c r="Z41" s="17"/>
      <c r="AA41" s="17"/>
      <c r="AB41" s="17"/>
      <c r="AC41" s="17"/>
    </row>
    <row r="42">
      <c r="A42" s="17"/>
      <c r="B42" s="17"/>
      <c r="C42" s="34"/>
      <c r="D42" s="35"/>
      <c r="E42" s="17"/>
      <c r="F42" s="34"/>
      <c r="G42" s="17"/>
      <c r="H42" s="17"/>
      <c r="I42" s="17"/>
      <c r="J42" s="17"/>
      <c r="K42" s="17"/>
      <c r="L42" s="17"/>
      <c r="M42" s="17"/>
      <c r="N42" s="17"/>
      <c r="O42" s="17"/>
      <c r="P42" s="17"/>
      <c r="Q42" s="17"/>
      <c r="R42" s="17"/>
      <c r="S42" s="17"/>
      <c r="T42" s="17"/>
      <c r="U42" s="17"/>
      <c r="V42" s="17"/>
      <c r="W42" s="17"/>
      <c r="X42" s="17"/>
      <c r="Y42" s="17"/>
      <c r="Z42" s="17"/>
      <c r="AA42" s="17"/>
      <c r="AB42" s="17"/>
      <c r="AC42" s="17"/>
    </row>
    <row r="43">
      <c r="A43" s="17"/>
      <c r="B43" s="17"/>
      <c r="C43" s="34"/>
      <c r="D43" s="35"/>
      <c r="E43" s="17"/>
      <c r="F43" s="34"/>
      <c r="G43" s="17"/>
      <c r="H43" s="17"/>
      <c r="I43" s="17"/>
      <c r="J43" s="17"/>
      <c r="K43" s="17"/>
      <c r="L43" s="17"/>
      <c r="M43" s="17"/>
      <c r="N43" s="17"/>
      <c r="O43" s="17"/>
      <c r="P43" s="17"/>
      <c r="Q43" s="17"/>
      <c r="R43" s="17"/>
      <c r="S43" s="17"/>
      <c r="T43" s="17"/>
      <c r="U43" s="17"/>
      <c r="V43" s="17"/>
      <c r="W43" s="17"/>
      <c r="X43" s="17"/>
      <c r="Y43" s="17"/>
      <c r="Z43" s="17"/>
      <c r="AA43" s="17"/>
      <c r="AB43" s="17"/>
      <c r="AC43" s="17"/>
    </row>
    <row r="44">
      <c r="A44" s="17"/>
      <c r="B44" s="17"/>
      <c r="C44" s="34"/>
      <c r="D44" s="35"/>
      <c r="E44" s="17"/>
      <c r="F44" s="34"/>
      <c r="G44" s="17"/>
      <c r="H44" s="17"/>
      <c r="I44" s="17"/>
      <c r="J44" s="17"/>
      <c r="K44" s="17"/>
      <c r="L44" s="17"/>
      <c r="M44" s="17"/>
      <c r="N44" s="17"/>
      <c r="O44" s="17"/>
      <c r="P44" s="17"/>
      <c r="Q44" s="17"/>
      <c r="R44" s="17"/>
      <c r="S44" s="17"/>
      <c r="T44" s="17"/>
      <c r="U44" s="17"/>
      <c r="V44" s="17"/>
      <c r="W44" s="17"/>
      <c r="X44" s="17"/>
      <c r="Y44" s="17"/>
      <c r="Z44" s="17"/>
      <c r="AA44" s="17"/>
      <c r="AB44" s="17"/>
      <c r="AC44" s="17"/>
    </row>
    <row r="45">
      <c r="A45" s="17"/>
      <c r="B45" s="17"/>
      <c r="C45" s="34"/>
      <c r="D45" s="35"/>
      <c r="E45" s="17"/>
      <c r="F45" s="34"/>
      <c r="G45" s="17"/>
      <c r="H45" s="17"/>
      <c r="I45" s="17"/>
      <c r="J45" s="17"/>
      <c r="K45" s="17"/>
      <c r="L45" s="17"/>
      <c r="M45" s="17"/>
      <c r="N45" s="17"/>
      <c r="O45" s="17"/>
      <c r="P45" s="17"/>
      <c r="Q45" s="17"/>
      <c r="R45" s="17"/>
      <c r="S45" s="17"/>
      <c r="T45" s="17"/>
      <c r="U45" s="17"/>
      <c r="V45" s="17"/>
      <c r="W45" s="17"/>
      <c r="X45" s="17"/>
      <c r="Y45" s="17"/>
      <c r="Z45" s="17"/>
      <c r="AA45" s="17"/>
      <c r="AB45" s="17"/>
      <c r="AC45" s="17"/>
    </row>
    <row r="46">
      <c r="A46" s="17"/>
      <c r="B46" s="17"/>
      <c r="C46" s="34"/>
      <c r="D46" s="35"/>
      <c r="E46" s="17"/>
      <c r="F46" s="34"/>
      <c r="G46" s="17"/>
      <c r="H46" s="17"/>
      <c r="I46" s="17"/>
      <c r="J46" s="17"/>
      <c r="K46" s="17"/>
      <c r="L46" s="17"/>
      <c r="M46" s="17"/>
      <c r="N46" s="17"/>
      <c r="O46" s="17"/>
      <c r="P46" s="17"/>
      <c r="Q46" s="17"/>
      <c r="R46" s="17"/>
      <c r="S46" s="17"/>
      <c r="T46" s="17"/>
      <c r="U46" s="17"/>
      <c r="V46" s="17"/>
      <c r="W46" s="17"/>
      <c r="X46" s="17"/>
      <c r="Y46" s="17"/>
      <c r="Z46" s="17"/>
      <c r="AA46" s="17"/>
      <c r="AB46" s="17"/>
      <c r="AC46" s="17"/>
    </row>
    <row r="47">
      <c r="A47" s="17"/>
      <c r="B47" s="17"/>
      <c r="C47" s="34"/>
      <c r="D47" s="35"/>
      <c r="E47" s="17"/>
      <c r="F47" s="34"/>
      <c r="G47" s="17"/>
      <c r="H47" s="17"/>
      <c r="I47" s="17"/>
      <c r="J47" s="17"/>
      <c r="K47" s="17"/>
      <c r="L47" s="17"/>
      <c r="M47" s="17"/>
      <c r="N47" s="17"/>
      <c r="O47" s="17"/>
      <c r="P47" s="17"/>
      <c r="Q47" s="17"/>
      <c r="R47" s="17"/>
      <c r="S47" s="17"/>
      <c r="T47" s="17"/>
      <c r="U47" s="17"/>
      <c r="V47" s="17"/>
      <c r="W47" s="17"/>
      <c r="X47" s="17"/>
      <c r="Y47" s="17"/>
      <c r="Z47" s="17"/>
      <c r="AA47" s="17"/>
      <c r="AB47" s="17"/>
      <c r="AC47" s="17"/>
    </row>
    <row r="48">
      <c r="A48" s="17"/>
      <c r="B48" s="17"/>
      <c r="C48" s="34"/>
      <c r="D48" s="35"/>
      <c r="E48" s="17"/>
      <c r="F48" s="34"/>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34"/>
      <c r="D49" s="35"/>
      <c r="E49" s="17"/>
      <c r="F49" s="34"/>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34"/>
      <c r="D50" s="35"/>
      <c r="E50" s="17"/>
      <c r="F50" s="34"/>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34"/>
      <c r="D51" s="35"/>
      <c r="E51" s="17"/>
      <c r="F51" s="34"/>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34"/>
      <c r="D52" s="35"/>
      <c r="E52" s="17"/>
      <c r="F52" s="34"/>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34"/>
      <c r="D53" s="35"/>
      <c r="E53" s="17"/>
      <c r="F53" s="34"/>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34"/>
      <c r="D54" s="35"/>
      <c r="E54" s="17"/>
      <c r="F54" s="34"/>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34"/>
      <c r="D55" s="35"/>
      <c r="E55" s="17"/>
      <c r="F55" s="34"/>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34"/>
      <c r="D56" s="35"/>
      <c r="E56" s="17"/>
      <c r="F56" s="34"/>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34"/>
      <c r="D57" s="35"/>
      <c r="E57" s="17"/>
      <c r="F57" s="34"/>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34"/>
      <c r="D58" s="35"/>
      <c r="E58" s="17"/>
      <c r="F58" s="34"/>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34"/>
      <c r="D59" s="35"/>
      <c r="E59" s="17"/>
      <c r="F59" s="34"/>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34"/>
      <c r="D60" s="35"/>
      <c r="E60" s="17"/>
      <c r="F60" s="34"/>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34"/>
      <c r="D61" s="35"/>
      <c r="E61" s="17"/>
      <c r="F61" s="34"/>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34"/>
      <c r="D62" s="35"/>
      <c r="E62" s="17"/>
      <c r="F62" s="34"/>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34"/>
      <c r="D63" s="35"/>
      <c r="E63" s="17"/>
      <c r="F63" s="34"/>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34"/>
      <c r="D64" s="35"/>
      <c r="E64" s="17"/>
      <c r="F64" s="34"/>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34"/>
      <c r="D65" s="35"/>
      <c r="E65" s="17"/>
      <c r="F65" s="34"/>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34"/>
      <c r="D66" s="35"/>
      <c r="E66" s="17"/>
      <c r="F66" s="34"/>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34"/>
      <c r="D67" s="35"/>
      <c r="E67" s="17"/>
      <c r="F67" s="34"/>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34"/>
      <c r="D68" s="35"/>
      <c r="E68" s="17"/>
      <c r="F68" s="34"/>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34"/>
      <c r="D69" s="35"/>
      <c r="E69" s="17"/>
      <c r="F69" s="34"/>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34"/>
      <c r="D70" s="35"/>
      <c r="E70" s="17"/>
      <c r="F70" s="34"/>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34"/>
      <c r="D71" s="35"/>
      <c r="E71" s="17"/>
      <c r="F71" s="34"/>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34"/>
      <c r="D72" s="35"/>
      <c r="E72" s="17"/>
      <c r="F72" s="34"/>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34"/>
      <c r="D73" s="35"/>
      <c r="E73" s="17"/>
      <c r="F73" s="34"/>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34"/>
      <c r="D74" s="35"/>
      <c r="E74" s="17"/>
      <c r="F74" s="34"/>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34"/>
      <c r="D75" s="35"/>
      <c r="E75" s="17"/>
      <c r="F75" s="34"/>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34"/>
      <c r="D76" s="35"/>
      <c r="E76" s="17"/>
      <c r="F76" s="34"/>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34"/>
      <c r="D77" s="35"/>
      <c r="E77" s="17"/>
      <c r="F77" s="34"/>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34"/>
      <c r="D78" s="35"/>
      <c r="E78" s="17"/>
      <c r="F78" s="34"/>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34"/>
      <c r="D79" s="35"/>
      <c r="E79" s="17"/>
      <c r="F79" s="34"/>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34"/>
      <c r="D80" s="35"/>
      <c r="E80" s="17"/>
      <c r="F80" s="34"/>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34"/>
      <c r="D81" s="35"/>
      <c r="E81" s="17"/>
      <c r="F81" s="34"/>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34"/>
      <c r="D82" s="35"/>
      <c r="E82" s="17"/>
      <c r="F82" s="34"/>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34"/>
      <c r="D83" s="35"/>
      <c r="E83" s="17"/>
      <c r="F83" s="34"/>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34"/>
      <c r="D84" s="35"/>
      <c r="E84" s="17"/>
      <c r="F84" s="34"/>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34"/>
      <c r="D85" s="35"/>
      <c r="E85" s="17"/>
      <c r="F85" s="34"/>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34"/>
      <c r="D86" s="35"/>
      <c r="E86" s="17"/>
      <c r="F86" s="34"/>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34"/>
      <c r="D87" s="35"/>
      <c r="E87" s="17"/>
      <c r="F87" s="34"/>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34"/>
      <c r="D88" s="35"/>
      <c r="E88" s="17"/>
      <c r="F88" s="34"/>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34"/>
      <c r="D89" s="35"/>
      <c r="E89" s="17"/>
      <c r="F89" s="34"/>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34"/>
      <c r="D90" s="35"/>
      <c r="E90" s="17"/>
      <c r="F90" s="34"/>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34"/>
      <c r="D91" s="35"/>
      <c r="E91" s="17"/>
      <c r="F91" s="34"/>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34"/>
      <c r="D92" s="35"/>
      <c r="E92" s="17"/>
      <c r="F92" s="34"/>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34"/>
      <c r="D93" s="35"/>
      <c r="E93" s="17"/>
      <c r="F93" s="34"/>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34"/>
      <c r="D94" s="35"/>
      <c r="E94" s="17"/>
      <c r="F94" s="34"/>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34"/>
      <c r="D95" s="35"/>
      <c r="E95" s="17"/>
      <c r="F95" s="34"/>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34"/>
      <c r="D96" s="35"/>
      <c r="E96" s="17"/>
      <c r="F96" s="34"/>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34"/>
      <c r="D97" s="35"/>
      <c r="E97" s="17"/>
      <c r="F97" s="34"/>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34"/>
      <c r="D98" s="35"/>
      <c r="E98" s="17"/>
      <c r="F98" s="34"/>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34"/>
      <c r="D99" s="35"/>
      <c r="E99" s="17"/>
      <c r="F99" s="34"/>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34"/>
      <c r="D100" s="35"/>
      <c r="E100" s="17"/>
      <c r="F100" s="34"/>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34"/>
      <c r="D101" s="35"/>
      <c r="E101" s="17"/>
      <c r="F101" s="34"/>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34"/>
      <c r="D102" s="35"/>
      <c r="E102" s="17"/>
      <c r="F102" s="34"/>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34"/>
      <c r="D103" s="35"/>
      <c r="E103" s="17"/>
      <c r="F103" s="34"/>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34"/>
      <c r="D104" s="35"/>
      <c r="E104" s="17"/>
      <c r="F104" s="34"/>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34"/>
      <c r="D105" s="35"/>
      <c r="E105" s="17"/>
      <c r="F105" s="34"/>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34"/>
      <c r="D106" s="35"/>
      <c r="E106" s="17"/>
      <c r="F106" s="34"/>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34"/>
      <c r="D107" s="35"/>
      <c r="E107" s="17"/>
      <c r="F107" s="34"/>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34"/>
      <c r="D108" s="35"/>
      <c r="E108" s="17"/>
      <c r="F108" s="34"/>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34"/>
      <c r="D109" s="35"/>
      <c r="E109" s="17"/>
      <c r="F109" s="34"/>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34"/>
      <c r="D110" s="35"/>
      <c r="E110" s="17"/>
      <c r="F110" s="34"/>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34"/>
      <c r="D111" s="35"/>
      <c r="E111" s="17"/>
      <c r="F111" s="34"/>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34"/>
      <c r="D112" s="35"/>
      <c r="E112" s="17"/>
      <c r="F112" s="34"/>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34"/>
      <c r="D113" s="35"/>
      <c r="E113" s="17"/>
      <c r="F113" s="34"/>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34"/>
      <c r="D114" s="35"/>
      <c r="E114" s="17"/>
      <c r="F114" s="34"/>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34"/>
      <c r="D115" s="35"/>
      <c r="E115" s="17"/>
      <c r="F115" s="34"/>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34"/>
      <c r="D116" s="35"/>
      <c r="E116" s="17"/>
      <c r="F116" s="34"/>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34"/>
      <c r="D117" s="35"/>
      <c r="E117" s="17"/>
      <c r="F117" s="34"/>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34"/>
      <c r="D118" s="35"/>
      <c r="E118" s="17"/>
      <c r="F118" s="34"/>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34"/>
      <c r="D119" s="35"/>
      <c r="E119" s="17"/>
      <c r="F119" s="34"/>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34"/>
      <c r="D120" s="35"/>
      <c r="E120" s="17"/>
      <c r="F120" s="34"/>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34"/>
      <c r="D121" s="35"/>
      <c r="E121" s="17"/>
      <c r="F121" s="34"/>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34"/>
      <c r="D122" s="35"/>
      <c r="E122" s="17"/>
      <c r="F122" s="34"/>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34"/>
      <c r="D123" s="35"/>
      <c r="E123" s="17"/>
      <c r="F123" s="34"/>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34"/>
      <c r="D124" s="35"/>
      <c r="E124" s="17"/>
      <c r="F124" s="34"/>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34"/>
      <c r="D125" s="35"/>
      <c r="E125" s="17"/>
      <c r="F125" s="34"/>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34"/>
      <c r="D126" s="35"/>
      <c r="E126" s="17"/>
      <c r="F126" s="34"/>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34"/>
      <c r="D127" s="35"/>
      <c r="E127" s="17"/>
      <c r="F127" s="34"/>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34"/>
      <c r="D128" s="35"/>
      <c r="E128" s="17"/>
      <c r="F128" s="34"/>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34"/>
      <c r="D129" s="35"/>
      <c r="E129" s="17"/>
      <c r="F129" s="34"/>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34"/>
      <c r="D130" s="35"/>
      <c r="E130" s="17"/>
      <c r="F130" s="34"/>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34"/>
      <c r="D131" s="35"/>
      <c r="E131" s="17"/>
      <c r="F131" s="34"/>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34"/>
      <c r="D132" s="35"/>
      <c r="E132" s="17"/>
      <c r="F132" s="34"/>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34"/>
      <c r="D133" s="35"/>
      <c r="E133" s="17"/>
      <c r="F133" s="34"/>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34"/>
      <c r="D134" s="35"/>
      <c r="E134" s="17"/>
      <c r="F134" s="34"/>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34"/>
      <c r="D135" s="35"/>
      <c r="E135" s="17"/>
      <c r="F135" s="34"/>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34"/>
      <c r="D136" s="35"/>
      <c r="E136" s="17"/>
      <c r="F136" s="34"/>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34"/>
      <c r="D137" s="35"/>
      <c r="E137" s="17"/>
      <c r="F137" s="34"/>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34"/>
      <c r="D138" s="35"/>
      <c r="E138" s="17"/>
      <c r="F138" s="34"/>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34"/>
      <c r="D139" s="35"/>
      <c r="E139" s="17"/>
      <c r="F139" s="34"/>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34"/>
      <c r="D140" s="35"/>
      <c r="E140" s="17"/>
      <c r="F140" s="34"/>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34"/>
      <c r="D141" s="35"/>
      <c r="E141" s="17"/>
      <c r="F141" s="34"/>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34"/>
      <c r="D142" s="35"/>
      <c r="E142" s="17"/>
      <c r="F142" s="34"/>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34"/>
      <c r="D143" s="35"/>
      <c r="E143" s="17"/>
      <c r="F143" s="34"/>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34"/>
      <c r="D144" s="35"/>
      <c r="E144" s="17"/>
      <c r="F144" s="34"/>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34"/>
      <c r="D145" s="35"/>
      <c r="E145" s="17"/>
      <c r="F145" s="34"/>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34"/>
      <c r="D146" s="35"/>
      <c r="E146" s="17"/>
      <c r="F146" s="34"/>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34"/>
      <c r="D147" s="35"/>
      <c r="E147" s="17"/>
      <c r="F147" s="34"/>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34"/>
      <c r="D148" s="35"/>
      <c r="E148" s="17"/>
      <c r="F148" s="34"/>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34"/>
      <c r="D149" s="35"/>
      <c r="E149" s="17"/>
      <c r="F149" s="34"/>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34"/>
      <c r="D150" s="35"/>
      <c r="E150" s="17"/>
      <c r="F150" s="34"/>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34"/>
      <c r="D151" s="35"/>
      <c r="E151" s="17"/>
      <c r="F151" s="34"/>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34"/>
      <c r="D152" s="35"/>
      <c r="E152" s="17"/>
      <c r="F152" s="34"/>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34"/>
      <c r="D153" s="35"/>
      <c r="E153" s="17"/>
      <c r="F153" s="34"/>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34"/>
      <c r="D154" s="35"/>
      <c r="E154" s="17"/>
      <c r="F154" s="34"/>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34"/>
      <c r="D155" s="35"/>
      <c r="E155" s="17"/>
      <c r="F155" s="34"/>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34"/>
      <c r="D156" s="35"/>
      <c r="E156" s="17"/>
      <c r="F156" s="34"/>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34"/>
      <c r="D157" s="35"/>
      <c r="E157" s="17"/>
      <c r="F157" s="34"/>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34"/>
      <c r="D158" s="35"/>
      <c r="E158" s="17"/>
      <c r="F158" s="34"/>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34"/>
      <c r="D159" s="35"/>
      <c r="E159" s="17"/>
      <c r="F159" s="34"/>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34"/>
      <c r="D160" s="35"/>
      <c r="E160" s="17"/>
      <c r="F160" s="34"/>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34"/>
      <c r="D161" s="35"/>
      <c r="E161" s="17"/>
      <c r="F161" s="34"/>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34"/>
      <c r="D162" s="35"/>
      <c r="E162" s="17"/>
      <c r="F162" s="34"/>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34"/>
      <c r="D163" s="35"/>
      <c r="E163" s="17"/>
      <c r="F163" s="34"/>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34"/>
      <c r="D164" s="35"/>
      <c r="E164" s="17"/>
      <c r="F164" s="34"/>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34"/>
      <c r="D165" s="35"/>
      <c r="E165" s="17"/>
      <c r="F165" s="34"/>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34"/>
      <c r="D166" s="35"/>
      <c r="E166" s="17"/>
      <c r="F166" s="34"/>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34"/>
      <c r="D167" s="35"/>
      <c r="E167" s="17"/>
      <c r="F167" s="34"/>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34"/>
      <c r="D168" s="35"/>
      <c r="E168" s="17"/>
      <c r="F168" s="34"/>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34"/>
      <c r="D169" s="35"/>
      <c r="E169" s="17"/>
      <c r="F169" s="34"/>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34"/>
      <c r="D170" s="35"/>
      <c r="E170" s="17"/>
      <c r="F170" s="34"/>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34"/>
      <c r="D171" s="35"/>
      <c r="E171" s="17"/>
      <c r="F171" s="34"/>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34"/>
      <c r="D172" s="35"/>
      <c r="E172" s="17"/>
      <c r="F172" s="34"/>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34"/>
      <c r="D173" s="35"/>
      <c r="E173" s="17"/>
      <c r="F173" s="34"/>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34"/>
      <c r="D174" s="35"/>
      <c r="E174" s="17"/>
      <c r="F174" s="34"/>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34"/>
      <c r="D175" s="35"/>
      <c r="E175" s="17"/>
      <c r="F175" s="34"/>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34"/>
      <c r="D176" s="35"/>
      <c r="E176" s="17"/>
      <c r="F176" s="34"/>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34"/>
      <c r="D177" s="35"/>
      <c r="E177" s="17"/>
      <c r="F177" s="34"/>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34"/>
      <c r="D178" s="35"/>
      <c r="E178" s="17"/>
      <c r="F178" s="34"/>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34"/>
      <c r="D179" s="35"/>
      <c r="E179" s="17"/>
      <c r="F179" s="34"/>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34"/>
      <c r="D180" s="35"/>
      <c r="E180" s="17"/>
      <c r="F180" s="34"/>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34"/>
      <c r="D181" s="35"/>
      <c r="E181" s="17"/>
      <c r="F181" s="34"/>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34"/>
      <c r="D182" s="35"/>
      <c r="E182" s="17"/>
      <c r="F182" s="34"/>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34"/>
      <c r="D183" s="35"/>
      <c r="E183" s="17"/>
      <c r="F183" s="34"/>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34"/>
      <c r="D184" s="35"/>
      <c r="E184" s="17"/>
      <c r="F184" s="34"/>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34"/>
      <c r="D185" s="35"/>
      <c r="E185" s="17"/>
      <c r="F185" s="34"/>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34"/>
      <c r="D186" s="35"/>
      <c r="E186" s="17"/>
      <c r="F186" s="34"/>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34"/>
      <c r="D187" s="35"/>
      <c r="E187" s="17"/>
      <c r="F187" s="34"/>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34"/>
      <c r="D188" s="35"/>
      <c r="E188" s="17"/>
      <c r="F188" s="34"/>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34"/>
      <c r="D189" s="35"/>
      <c r="E189" s="17"/>
      <c r="F189" s="34"/>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34"/>
      <c r="D190" s="35"/>
      <c r="E190" s="17"/>
      <c r="F190" s="34"/>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34"/>
      <c r="D191" s="35"/>
      <c r="E191" s="17"/>
      <c r="F191" s="34"/>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34"/>
      <c r="D192" s="35"/>
      <c r="E192" s="17"/>
      <c r="F192" s="34"/>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34"/>
      <c r="D193" s="35"/>
      <c r="E193" s="17"/>
      <c r="F193" s="34"/>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34"/>
      <c r="D194" s="35"/>
      <c r="E194" s="17"/>
      <c r="F194" s="34"/>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34"/>
      <c r="D195" s="35"/>
      <c r="E195" s="17"/>
      <c r="F195" s="34"/>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34"/>
      <c r="D196" s="35"/>
      <c r="E196" s="17"/>
      <c r="F196" s="34"/>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34"/>
      <c r="D197" s="35"/>
      <c r="E197" s="17"/>
      <c r="F197" s="34"/>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34"/>
      <c r="D198" s="35"/>
      <c r="E198" s="17"/>
      <c r="F198" s="34"/>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34"/>
      <c r="D199" s="35"/>
      <c r="E199" s="17"/>
      <c r="F199" s="34"/>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34"/>
      <c r="D200" s="35"/>
      <c r="E200" s="17"/>
      <c r="F200" s="34"/>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34"/>
      <c r="D201" s="35"/>
      <c r="E201" s="17"/>
      <c r="F201" s="34"/>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34"/>
      <c r="D202" s="35"/>
      <c r="E202" s="17"/>
      <c r="F202" s="34"/>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34"/>
      <c r="D203" s="35"/>
      <c r="E203" s="17"/>
      <c r="F203" s="34"/>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34"/>
      <c r="D204" s="35"/>
      <c r="E204" s="17"/>
      <c r="F204" s="34"/>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34"/>
      <c r="D205" s="35"/>
      <c r="E205" s="17"/>
      <c r="F205" s="34"/>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34"/>
      <c r="D206" s="35"/>
      <c r="E206" s="17"/>
      <c r="F206" s="34"/>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34"/>
      <c r="D207" s="35"/>
      <c r="E207" s="17"/>
      <c r="F207" s="34"/>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34"/>
      <c r="D208" s="35"/>
      <c r="E208" s="17"/>
      <c r="F208" s="34"/>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34"/>
      <c r="D209" s="35"/>
      <c r="E209" s="17"/>
      <c r="F209" s="34"/>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34"/>
      <c r="D210" s="35"/>
      <c r="E210" s="17"/>
      <c r="F210" s="34"/>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34"/>
      <c r="D211" s="35"/>
      <c r="E211" s="17"/>
      <c r="F211" s="34"/>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34"/>
      <c r="D212" s="35"/>
      <c r="E212" s="17"/>
      <c r="F212" s="34"/>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34"/>
      <c r="D213" s="35"/>
      <c r="E213" s="17"/>
      <c r="F213" s="34"/>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34"/>
      <c r="D214" s="35"/>
      <c r="E214" s="17"/>
      <c r="F214" s="34"/>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34"/>
      <c r="D215" s="35"/>
      <c r="E215" s="17"/>
      <c r="F215" s="34"/>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34"/>
      <c r="D216" s="35"/>
      <c r="E216" s="17"/>
      <c r="F216" s="34"/>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34"/>
      <c r="D217" s="35"/>
      <c r="E217" s="17"/>
      <c r="F217" s="34"/>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34"/>
      <c r="D218" s="35"/>
      <c r="E218" s="17"/>
      <c r="F218" s="34"/>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34"/>
      <c r="D219" s="35"/>
      <c r="E219" s="17"/>
      <c r="F219" s="34"/>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34"/>
      <c r="D220" s="35"/>
      <c r="E220" s="17"/>
      <c r="F220" s="34"/>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34"/>
      <c r="D221" s="35"/>
      <c r="E221" s="17"/>
      <c r="F221" s="34"/>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34"/>
      <c r="D222" s="35"/>
      <c r="E222" s="17"/>
      <c r="F222" s="34"/>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34"/>
      <c r="D223" s="35"/>
      <c r="E223" s="17"/>
      <c r="F223" s="34"/>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34"/>
      <c r="D224" s="35"/>
      <c r="E224" s="17"/>
      <c r="F224" s="34"/>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34"/>
      <c r="D225" s="35"/>
      <c r="E225" s="17"/>
      <c r="F225" s="34"/>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34"/>
      <c r="D226" s="35"/>
      <c r="E226" s="17"/>
      <c r="F226" s="34"/>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34"/>
      <c r="D227" s="35"/>
      <c r="E227" s="17"/>
      <c r="F227" s="34"/>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34"/>
      <c r="D228" s="35"/>
      <c r="E228" s="17"/>
      <c r="F228" s="34"/>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34"/>
      <c r="D229" s="35"/>
      <c r="E229" s="17"/>
      <c r="F229" s="34"/>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34"/>
      <c r="D230" s="35"/>
      <c r="E230" s="17"/>
      <c r="F230" s="34"/>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34"/>
      <c r="D231" s="35"/>
      <c r="E231" s="17"/>
      <c r="F231" s="34"/>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34"/>
      <c r="D232" s="35"/>
      <c r="E232" s="17"/>
      <c r="F232" s="34"/>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34"/>
      <c r="D233" s="35"/>
      <c r="E233" s="17"/>
      <c r="F233" s="34"/>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34"/>
      <c r="D234" s="35"/>
      <c r="E234" s="17"/>
      <c r="F234" s="34"/>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34"/>
      <c r="D235" s="35"/>
      <c r="E235" s="17"/>
      <c r="F235" s="34"/>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34"/>
      <c r="D236" s="35"/>
      <c r="E236" s="17"/>
      <c r="F236" s="34"/>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34"/>
      <c r="D237" s="35"/>
      <c r="E237" s="17"/>
      <c r="F237" s="34"/>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34"/>
      <c r="D238" s="35"/>
      <c r="E238" s="17"/>
      <c r="F238" s="34"/>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34"/>
      <c r="D239" s="35"/>
      <c r="E239" s="17"/>
      <c r="F239" s="34"/>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34"/>
      <c r="D240" s="35"/>
      <c r="E240" s="17"/>
      <c r="F240" s="34"/>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34"/>
      <c r="D241" s="35"/>
      <c r="E241" s="17"/>
      <c r="F241" s="34"/>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34"/>
      <c r="D242" s="35"/>
      <c r="E242" s="17"/>
      <c r="F242" s="34"/>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34"/>
      <c r="D243" s="35"/>
      <c r="E243" s="17"/>
      <c r="F243" s="34"/>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34"/>
      <c r="D244" s="35"/>
      <c r="E244" s="17"/>
      <c r="F244" s="34"/>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34"/>
      <c r="D245" s="35"/>
      <c r="E245" s="17"/>
      <c r="F245" s="34"/>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34"/>
      <c r="D246" s="35"/>
      <c r="E246" s="17"/>
      <c r="F246" s="34"/>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34"/>
      <c r="D247" s="35"/>
      <c r="E247" s="17"/>
      <c r="F247" s="34"/>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34"/>
      <c r="D248" s="35"/>
      <c r="E248" s="17"/>
      <c r="F248" s="34"/>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34"/>
      <c r="D249" s="35"/>
      <c r="E249" s="17"/>
      <c r="F249" s="34"/>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34"/>
      <c r="D250" s="35"/>
      <c r="E250" s="17"/>
      <c r="F250" s="34"/>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34"/>
      <c r="D251" s="35"/>
      <c r="E251" s="17"/>
      <c r="F251" s="34"/>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34"/>
      <c r="D252" s="35"/>
      <c r="E252" s="17"/>
      <c r="F252" s="34"/>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34"/>
      <c r="D253" s="35"/>
      <c r="E253" s="17"/>
      <c r="F253" s="34"/>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34"/>
      <c r="D254" s="35"/>
      <c r="E254" s="17"/>
      <c r="F254" s="34"/>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34"/>
      <c r="D255" s="35"/>
      <c r="E255" s="17"/>
      <c r="F255" s="34"/>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34"/>
      <c r="D256" s="35"/>
      <c r="E256" s="17"/>
      <c r="F256" s="34"/>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34"/>
      <c r="D257" s="35"/>
      <c r="E257" s="17"/>
      <c r="F257" s="34"/>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34"/>
      <c r="D258" s="35"/>
      <c r="E258" s="17"/>
      <c r="F258" s="34"/>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34"/>
      <c r="D259" s="35"/>
      <c r="E259" s="17"/>
      <c r="F259" s="34"/>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34"/>
      <c r="D260" s="35"/>
      <c r="E260" s="17"/>
      <c r="F260" s="34"/>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34"/>
      <c r="D261" s="35"/>
      <c r="E261" s="17"/>
      <c r="F261" s="34"/>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34"/>
      <c r="D262" s="35"/>
      <c r="E262" s="17"/>
      <c r="F262" s="34"/>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34"/>
      <c r="D263" s="35"/>
      <c r="E263" s="17"/>
      <c r="F263" s="34"/>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34"/>
      <c r="D264" s="35"/>
      <c r="E264" s="17"/>
      <c r="F264" s="34"/>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34"/>
      <c r="D265" s="35"/>
      <c r="E265" s="17"/>
      <c r="F265" s="34"/>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34"/>
      <c r="D266" s="35"/>
      <c r="E266" s="17"/>
      <c r="F266" s="34"/>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34"/>
      <c r="D267" s="35"/>
      <c r="E267" s="17"/>
      <c r="F267" s="34"/>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34"/>
      <c r="D268" s="35"/>
      <c r="E268" s="17"/>
      <c r="F268" s="34"/>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34"/>
      <c r="D269" s="35"/>
      <c r="E269" s="17"/>
      <c r="F269" s="34"/>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34"/>
      <c r="D270" s="35"/>
      <c r="E270" s="17"/>
      <c r="F270" s="34"/>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34"/>
      <c r="D271" s="35"/>
      <c r="E271" s="17"/>
      <c r="F271" s="34"/>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34"/>
      <c r="D272" s="35"/>
      <c r="E272" s="17"/>
      <c r="F272" s="34"/>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34"/>
      <c r="D273" s="35"/>
      <c r="E273" s="17"/>
      <c r="F273" s="34"/>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34"/>
      <c r="D274" s="35"/>
      <c r="E274" s="17"/>
      <c r="F274" s="34"/>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34"/>
      <c r="D275" s="35"/>
      <c r="E275" s="17"/>
      <c r="F275" s="34"/>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34"/>
      <c r="D276" s="35"/>
      <c r="E276" s="17"/>
      <c r="F276" s="34"/>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34"/>
      <c r="D277" s="35"/>
      <c r="E277" s="17"/>
      <c r="F277" s="34"/>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34"/>
      <c r="D278" s="35"/>
      <c r="E278" s="17"/>
      <c r="F278" s="34"/>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34"/>
      <c r="D279" s="35"/>
      <c r="E279" s="17"/>
      <c r="F279" s="34"/>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34"/>
      <c r="D280" s="35"/>
      <c r="E280" s="17"/>
      <c r="F280" s="34"/>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34"/>
      <c r="D281" s="35"/>
      <c r="E281" s="17"/>
      <c r="F281" s="34"/>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34"/>
      <c r="D282" s="35"/>
      <c r="E282" s="17"/>
      <c r="F282" s="34"/>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34"/>
      <c r="D283" s="35"/>
      <c r="E283" s="17"/>
      <c r="F283" s="34"/>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34"/>
      <c r="D284" s="35"/>
      <c r="E284" s="17"/>
      <c r="F284" s="34"/>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34"/>
      <c r="D285" s="35"/>
      <c r="E285" s="17"/>
      <c r="F285" s="34"/>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34"/>
      <c r="D286" s="35"/>
      <c r="E286" s="17"/>
      <c r="F286" s="34"/>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34"/>
      <c r="D287" s="35"/>
      <c r="E287" s="17"/>
      <c r="F287" s="34"/>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34"/>
      <c r="D288" s="35"/>
      <c r="E288" s="17"/>
      <c r="F288" s="34"/>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34"/>
      <c r="D289" s="35"/>
      <c r="E289" s="17"/>
      <c r="F289" s="34"/>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34"/>
      <c r="D290" s="35"/>
      <c r="E290" s="17"/>
      <c r="F290" s="34"/>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34"/>
      <c r="D291" s="35"/>
      <c r="E291" s="17"/>
      <c r="F291" s="34"/>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34"/>
      <c r="D292" s="35"/>
      <c r="E292" s="17"/>
      <c r="F292" s="34"/>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34"/>
      <c r="D293" s="35"/>
      <c r="E293" s="17"/>
      <c r="F293" s="34"/>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34"/>
      <c r="D294" s="35"/>
      <c r="E294" s="17"/>
      <c r="F294" s="34"/>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34"/>
      <c r="D295" s="35"/>
      <c r="E295" s="17"/>
      <c r="F295" s="34"/>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34"/>
      <c r="D296" s="35"/>
      <c r="E296" s="17"/>
      <c r="F296" s="34"/>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34"/>
      <c r="D297" s="35"/>
      <c r="E297" s="17"/>
      <c r="F297" s="34"/>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34"/>
      <c r="D298" s="35"/>
      <c r="E298" s="17"/>
      <c r="F298" s="34"/>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34"/>
      <c r="D299" s="35"/>
      <c r="E299" s="17"/>
      <c r="F299" s="34"/>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34"/>
      <c r="D300" s="35"/>
      <c r="E300" s="17"/>
      <c r="F300" s="34"/>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34"/>
      <c r="D301" s="35"/>
      <c r="E301" s="17"/>
      <c r="F301" s="34"/>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34"/>
      <c r="D302" s="35"/>
      <c r="E302" s="17"/>
      <c r="F302" s="34"/>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34"/>
      <c r="D303" s="35"/>
      <c r="E303" s="17"/>
      <c r="F303" s="34"/>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34"/>
      <c r="D304" s="35"/>
      <c r="E304" s="17"/>
      <c r="F304" s="34"/>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34"/>
      <c r="D305" s="35"/>
      <c r="E305" s="17"/>
      <c r="F305" s="34"/>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34"/>
      <c r="D306" s="35"/>
      <c r="E306" s="17"/>
      <c r="F306" s="34"/>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34"/>
      <c r="D307" s="35"/>
      <c r="E307" s="17"/>
      <c r="F307" s="34"/>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34"/>
      <c r="D308" s="35"/>
      <c r="E308" s="17"/>
      <c r="F308" s="34"/>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34"/>
      <c r="D309" s="35"/>
      <c r="E309" s="17"/>
      <c r="F309" s="34"/>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34"/>
      <c r="D310" s="35"/>
      <c r="E310" s="17"/>
      <c r="F310" s="34"/>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34"/>
      <c r="D311" s="35"/>
      <c r="E311" s="17"/>
      <c r="F311" s="34"/>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34"/>
      <c r="D312" s="35"/>
      <c r="E312" s="17"/>
      <c r="F312" s="34"/>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34"/>
      <c r="D313" s="35"/>
      <c r="E313" s="17"/>
      <c r="F313" s="34"/>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34"/>
      <c r="D314" s="35"/>
      <c r="E314" s="17"/>
      <c r="F314" s="34"/>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34"/>
      <c r="D315" s="35"/>
      <c r="E315" s="17"/>
      <c r="F315" s="34"/>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34"/>
      <c r="D316" s="35"/>
      <c r="E316" s="17"/>
      <c r="F316" s="34"/>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34"/>
      <c r="D317" s="35"/>
      <c r="E317" s="17"/>
      <c r="F317" s="34"/>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34"/>
      <c r="D318" s="35"/>
      <c r="E318" s="17"/>
      <c r="F318" s="34"/>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34"/>
      <c r="D319" s="35"/>
      <c r="E319" s="17"/>
      <c r="F319" s="34"/>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34"/>
      <c r="D320" s="35"/>
      <c r="E320" s="17"/>
      <c r="F320" s="34"/>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34"/>
      <c r="D321" s="35"/>
      <c r="E321" s="17"/>
      <c r="F321" s="34"/>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34"/>
      <c r="D322" s="35"/>
      <c r="E322" s="17"/>
      <c r="F322" s="34"/>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34"/>
      <c r="D323" s="35"/>
      <c r="E323" s="17"/>
      <c r="F323" s="34"/>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34"/>
      <c r="D324" s="35"/>
      <c r="E324" s="17"/>
      <c r="F324" s="34"/>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34"/>
      <c r="D325" s="35"/>
      <c r="E325" s="17"/>
      <c r="F325" s="34"/>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34"/>
      <c r="D326" s="35"/>
      <c r="E326" s="17"/>
      <c r="F326" s="34"/>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34"/>
      <c r="D327" s="35"/>
      <c r="E327" s="17"/>
      <c r="F327" s="34"/>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34"/>
      <c r="D328" s="35"/>
      <c r="E328" s="17"/>
      <c r="F328" s="34"/>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34"/>
      <c r="D329" s="35"/>
      <c r="E329" s="17"/>
      <c r="F329" s="34"/>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34"/>
      <c r="D330" s="35"/>
      <c r="E330" s="17"/>
      <c r="F330" s="34"/>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34"/>
      <c r="D331" s="35"/>
      <c r="E331" s="17"/>
      <c r="F331" s="34"/>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34"/>
      <c r="D332" s="35"/>
      <c r="E332" s="17"/>
      <c r="F332" s="34"/>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34"/>
      <c r="D333" s="35"/>
      <c r="E333" s="17"/>
      <c r="F333" s="34"/>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34"/>
      <c r="D334" s="35"/>
      <c r="E334" s="17"/>
      <c r="F334" s="34"/>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34"/>
      <c r="D335" s="35"/>
      <c r="E335" s="17"/>
      <c r="F335" s="34"/>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34"/>
      <c r="D336" s="35"/>
      <c r="E336" s="17"/>
      <c r="F336" s="34"/>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34"/>
      <c r="D337" s="35"/>
      <c r="E337" s="17"/>
      <c r="F337" s="34"/>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34"/>
      <c r="D338" s="35"/>
      <c r="E338" s="17"/>
      <c r="F338" s="34"/>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34"/>
      <c r="D339" s="35"/>
      <c r="E339" s="17"/>
      <c r="F339" s="34"/>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34"/>
      <c r="D340" s="35"/>
      <c r="E340" s="17"/>
      <c r="F340" s="34"/>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34"/>
      <c r="D341" s="35"/>
      <c r="E341" s="17"/>
      <c r="F341" s="34"/>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34"/>
      <c r="D342" s="35"/>
      <c r="E342" s="17"/>
      <c r="F342" s="34"/>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34"/>
      <c r="D343" s="35"/>
      <c r="E343" s="17"/>
      <c r="F343" s="34"/>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34"/>
      <c r="D344" s="35"/>
      <c r="E344" s="17"/>
      <c r="F344" s="34"/>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34"/>
      <c r="D345" s="35"/>
      <c r="E345" s="17"/>
      <c r="F345" s="34"/>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34"/>
      <c r="D346" s="35"/>
      <c r="E346" s="17"/>
      <c r="F346" s="34"/>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34"/>
      <c r="D347" s="35"/>
      <c r="E347" s="17"/>
      <c r="F347" s="34"/>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34"/>
      <c r="D348" s="35"/>
      <c r="E348" s="17"/>
      <c r="F348" s="34"/>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34"/>
      <c r="D349" s="35"/>
      <c r="E349" s="17"/>
      <c r="F349" s="34"/>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34"/>
      <c r="D350" s="35"/>
      <c r="E350" s="17"/>
      <c r="F350" s="34"/>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34"/>
      <c r="D351" s="35"/>
      <c r="E351" s="17"/>
      <c r="F351" s="34"/>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34"/>
      <c r="D352" s="35"/>
      <c r="E352" s="17"/>
      <c r="F352" s="34"/>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34"/>
      <c r="D353" s="35"/>
      <c r="E353" s="17"/>
      <c r="F353" s="34"/>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34"/>
      <c r="D354" s="35"/>
      <c r="E354" s="17"/>
      <c r="F354" s="34"/>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34"/>
      <c r="D355" s="35"/>
      <c r="E355" s="17"/>
      <c r="F355" s="34"/>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34"/>
      <c r="D356" s="35"/>
      <c r="E356" s="17"/>
      <c r="F356" s="34"/>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34"/>
      <c r="D357" s="35"/>
      <c r="E357" s="17"/>
      <c r="F357" s="34"/>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34"/>
      <c r="D358" s="35"/>
      <c r="E358" s="17"/>
      <c r="F358" s="34"/>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34"/>
      <c r="D359" s="35"/>
      <c r="E359" s="17"/>
      <c r="F359" s="34"/>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34"/>
      <c r="D360" s="35"/>
      <c r="E360" s="17"/>
      <c r="F360" s="34"/>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34"/>
      <c r="D361" s="35"/>
      <c r="E361" s="17"/>
      <c r="F361" s="34"/>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34"/>
      <c r="D362" s="35"/>
      <c r="E362" s="17"/>
      <c r="F362" s="34"/>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34"/>
      <c r="D363" s="35"/>
      <c r="E363" s="17"/>
      <c r="F363" s="34"/>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34"/>
      <c r="D364" s="35"/>
      <c r="E364" s="17"/>
      <c r="F364" s="34"/>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34"/>
      <c r="D365" s="35"/>
      <c r="E365" s="17"/>
      <c r="F365" s="34"/>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34"/>
      <c r="D366" s="35"/>
      <c r="E366" s="17"/>
      <c r="F366" s="34"/>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34"/>
      <c r="D367" s="35"/>
      <c r="E367" s="17"/>
      <c r="F367" s="34"/>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34"/>
      <c r="D368" s="35"/>
      <c r="E368" s="17"/>
      <c r="F368" s="34"/>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34"/>
      <c r="D369" s="35"/>
      <c r="E369" s="17"/>
      <c r="F369" s="34"/>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34"/>
      <c r="D370" s="35"/>
      <c r="E370" s="17"/>
      <c r="F370" s="34"/>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34"/>
      <c r="D371" s="35"/>
      <c r="E371" s="17"/>
      <c r="F371" s="34"/>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34"/>
      <c r="D372" s="35"/>
      <c r="E372" s="17"/>
      <c r="F372" s="34"/>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34"/>
      <c r="D373" s="35"/>
      <c r="E373" s="17"/>
      <c r="F373" s="34"/>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34"/>
      <c r="D374" s="35"/>
      <c r="E374" s="17"/>
      <c r="F374" s="34"/>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34"/>
      <c r="D375" s="35"/>
      <c r="E375" s="17"/>
      <c r="F375" s="34"/>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34"/>
      <c r="D376" s="35"/>
      <c r="E376" s="17"/>
      <c r="F376" s="34"/>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34"/>
      <c r="D377" s="35"/>
      <c r="E377" s="17"/>
      <c r="F377" s="34"/>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34"/>
      <c r="D378" s="35"/>
      <c r="E378" s="17"/>
      <c r="F378" s="34"/>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34"/>
      <c r="D379" s="35"/>
      <c r="E379" s="17"/>
      <c r="F379" s="34"/>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34"/>
      <c r="D380" s="35"/>
      <c r="E380" s="17"/>
      <c r="F380" s="34"/>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34"/>
      <c r="D381" s="35"/>
      <c r="E381" s="17"/>
      <c r="F381" s="34"/>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34"/>
      <c r="D382" s="35"/>
      <c r="E382" s="17"/>
      <c r="F382" s="34"/>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34"/>
      <c r="D383" s="35"/>
      <c r="E383" s="17"/>
      <c r="F383" s="34"/>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34"/>
      <c r="D384" s="35"/>
      <c r="E384" s="17"/>
      <c r="F384" s="34"/>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34"/>
      <c r="D385" s="35"/>
      <c r="E385" s="17"/>
      <c r="F385" s="34"/>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34"/>
      <c r="D386" s="35"/>
      <c r="E386" s="17"/>
      <c r="F386" s="34"/>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34"/>
      <c r="D387" s="35"/>
      <c r="E387" s="17"/>
      <c r="F387" s="34"/>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34"/>
      <c r="D388" s="35"/>
      <c r="E388" s="17"/>
      <c r="F388" s="34"/>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34"/>
      <c r="D389" s="35"/>
      <c r="E389" s="17"/>
      <c r="F389" s="34"/>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34"/>
      <c r="D390" s="35"/>
      <c r="E390" s="17"/>
      <c r="F390" s="34"/>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34"/>
      <c r="D391" s="35"/>
      <c r="E391" s="17"/>
      <c r="F391" s="34"/>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34"/>
      <c r="D392" s="35"/>
      <c r="E392" s="17"/>
      <c r="F392" s="34"/>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34"/>
      <c r="D393" s="35"/>
      <c r="E393" s="17"/>
      <c r="F393" s="34"/>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34"/>
      <c r="D394" s="35"/>
      <c r="E394" s="17"/>
      <c r="F394" s="34"/>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34"/>
      <c r="D395" s="35"/>
      <c r="E395" s="17"/>
      <c r="F395" s="34"/>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34"/>
      <c r="D396" s="35"/>
      <c r="E396" s="17"/>
      <c r="F396" s="34"/>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34"/>
      <c r="D397" s="35"/>
      <c r="E397" s="17"/>
      <c r="F397" s="34"/>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34"/>
      <c r="D398" s="35"/>
      <c r="E398" s="17"/>
      <c r="F398" s="34"/>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34"/>
      <c r="D399" s="35"/>
      <c r="E399" s="17"/>
      <c r="F399" s="34"/>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34"/>
      <c r="D400" s="35"/>
      <c r="E400" s="17"/>
      <c r="F400" s="34"/>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34"/>
      <c r="D401" s="35"/>
      <c r="E401" s="17"/>
      <c r="F401" s="34"/>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34"/>
      <c r="D402" s="35"/>
      <c r="E402" s="17"/>
      <c r="F402" s="34"/>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34"/>
      <c r="D403" s="35"/>
      <c r="E403" s="17"/>
      <c r="F403" s="34"/>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34"/>
      <c r="D404" s="35"/>
      <c r="E404" s="17"/>
      <c r="F404" s="34"/>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34"/>
      <c r="D405" s="35"/>
      <c r="E405" s="17"/>
      <c r="F405" s="34"/>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34"/>
      <c r="D406" s="35"/>
      <c r="E406" s="17"/>
      <c r="F406" s="34"/>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34"/>
      <c r="D407" s="35"/>
      <c r="E407" s="17"/>
      <c r="F407" s="34"/>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34"/>
      <c r="D408" s="35"/>
      <c r="E408" s="17"/>
      <c r="F408" s="34"/>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34"/>
      <c r="D409" s="35"/>
      <c r="E409" s="17"/>
      <c r="F409" s="34"/>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34"/>
      <c r="D410" s="35"/>
      <c r="E410" s="17"/>
      <c r="F410" s="34"/>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34"/>
      <c r="D411" s="35"/>
      <c r="E411" s="17"/>
      <c r="F411" s="34"/>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34"/>
      <c r="D412" s="35"/>
      <c r="E412" s="17"/>
      <c r="F412" s="34"/>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34"/>
      <c r="D413" s="35"/>
      <c r="E413" s="17"/>
      <c r="F413" s="34"/>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34"/>
      <c r="D414" s="35"/>
      <c r="E414" s="17"/>
      <c r="F414" s="34"/>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34"/>
      <c r="D415" s="35"/>
      <c r="E415" s="17"/>
      <c r="F415" s="34"/>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34"/>
      <c r="D416" s="35"/>
      <c r="E416" s="17"/>
      <c r="F416" s="34"/>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34"/>
      <c r="D417" s="35"/>
      <c r="E417" s="17"/>
      <c r="F417" s="34"/>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34"/>
      <c r="D418" s="35"/>
      <c r="E418" s="17"/>
      <c r="F418" s="34"/>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34"/>
      <c r="D419" s="35"/>
      <c r="E419" s="17"/>
      <c r="F419" s="34"/>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34"/>
      <c r="D420" s="35"/>
      <c r="E420" s="17"/>
      <c r="F420" s="34"/>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34"/>
      <c r="D421" s="35"/>
      <c r="E421" s="17"/>
      <c r="F421" s="34"/>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34"/>
      <c r="D422" s="35"/>
      <c r="E422" s="17"/>
      <c r="F422" s="34"/>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34"/>
      <c r="D423" s="35"/>
      <c r="E423" s="17"/>
      <c r="F423" s="34"/>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34"/>
      <c r="D424" s="35"/>
      <c r="E424" s="17"/>
      <c r="F424" s="34"/>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34"/>
      <c r="D425" s="35"/>
      <c r="E425" s="17"/>
      <c r="F425" s="34"/>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34"/>
      <c r="D426" s="35"/>
      <c r="E426" s="17"/>
      <c r="F426" s="34"/>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34"/>
      <c r="D427" s="35"/>
      <c r="E427" s="17"/>
      <c r="F427" s="34"/>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34"/>
      <c r="D428" s="35"/>
      <c r="E428" s="17"/>
      <c r="F428" s="34"/>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34"/>
      <c r="D429" s="35"/>
      <c r="E429" s="17"/>
      <c r="F429" s="34"/>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34"/>
      <c r="D430" s="35"/>
      <c r="E430" s="17"/>
      <c r="F430" s="34"/>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34"/>
      <c r="D431" s="35"/>
      <c r="E431" s="17"/>
      <c r="F431" s="34"/>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34"/>
      <c r="D432" s="35"/>
      <c r="E432" s="17"/>
      <c r="F432" s="34"/>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34"/>
      <c r="D433" s="35"/>
      <c r="E433" s="17"/>
      <c r="F433" s="34"/>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34"/>
      <c r="D434" s="35"/>
      <c r="E434" s="17"/>
      <c r="F434" s="34"/>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34"/>
      <c r="D435" s="35"/>
      <c r="E435" s="17"/>
      <c r="F435" s="34"/>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34"/>
      <c r="D436" s="35"/>
      <c r="E436" s="17"/>
      <c r="F436" s="34"/>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34"/>
      <c r="D437" s="35"/>
      <c r="E437" s="17"/>
      <c r="F437" s="34"/>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34"/>
      <c r="D438" s="35"/>
      <c r="E438" s="17"/>
      <c r="F438" s="34"/>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34"/>
      <c r="D439" s="35"/>
      <c r="E439" s="17"/>
      <c r="F439" s="34"/>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34"/>
      <c r="D440" s="35"/>
      <c r="E440" s="17"/>
      <c r="F440" s="34"/>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34"/>
      <c r="D441" s="35"/>
      <c r="E441" s="17"/>
      <c r="F441" s="34"/>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34"/>
      <c r="D442" s="35"/>
      <c r="E442" s="17"/>
      <c r="F442" s="34"/>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34"/>
      <c r="D443" s="35"/>
      <c r="E443" s="17"/>
      <c r="F443" s="34"/>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34"/>
      <c r="D444" s="35"/>
      <c r="E444" s="17"/>
      <c r="F444" s="34"/>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34"/>
      <c r="D445" s="35"/>
      <c r="E445" s="17"/>
      <c r="F445" s="34"/>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34"/>
      <c r="D446" s="35"/>
      <c r="E446" s="17"/>
      <c r="F446" s="34"/>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34"/>
      <c r="D447" s="35"/>
      <c r="E447" s="17"/>
      <c r="F447" s="34"/>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34"/>
      <c r="D448" s="35"/>
      <c r="E448" s="17"/>
      <c r="F448" s="34"/>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34"/>
      <c r="D449" s="35"/>
      <c r="E449" s="17"/>
      <c r="F449" s="34"/>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34"/>
      <c r="D450" s="35"/>
      <c r="E450" s="17"/>
      <c r="F450" s="34"/>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34"/>
      <c r="D451" s="35"/>
      <c r="E451" s="17"/>
      <c r="F451" s="34"/>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34"/>
      <c r="D452" s="35"/>
      <c r="E452" s="17"/>
      <c r="F452" s="34"/>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34"/>
      <c r="D453" s="35"/>
      <c r="E453" s="17"/>
      <c r="F453" s="34"/>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34"/>
      <c r="D454" s="35"/>
      <c r="E454" s="17"/>
      <c r="F454" s="34"/>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34"/>
      <c r="D455" s="35"/>
      <c r="E455" s="17"/>
      <c r="F455" s="34"/>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34"/>
      <c r="D456" s="35"/>
      <c r="E456" s="17"/>
      <c r="F456" s="34"/>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34"/>
      <c r="D457" s="35"/>
      <c r="E457" s="17"/>
      <c r="F457" s="34"/>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34"/>
      <c r="D458" s="35"/>
      <c r="E458" s="17"/>
      <c r="F458" s="34"/>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34"/>
      <c r="D459" s="35"/>
      <c r="E459" s="17"/>
      <c r="F459" s="34"/>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34"/>
      <c r="D460" s="35"/>
      <c r="E460" s="17"/>
      <c r="F460" s="34"/>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34"/>
      <c r="D461" s="35"/>
      <c r="E461" s="17"/>
      <c r="F461" s="34"/>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34"/>
      <c r="D462" s="35"/>
      <c r="E462" s="17"/>
      <c r="F462" s="34"/>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34"/>
      <c r="D463" s="35"/>
      <c r="E463" s="17"/>
      <c r="F463" s="34"/>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34"/>
      <c r="D464" s="35"/>
      <c r="E464" s="17"/>
      <c r="F464" s="34"/>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34"/>
      <c r="D465" s="35"/>
      <c r="E465" s="17"/>
      <c r="F465" s="34"/>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34"/>
      <c r="D466" s="35"/>
      <c r="E466" s="17"/>
      <c r="F466" s="34"/>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34"/>
      <c r="D467" s="35"/>
      <c r="E467" s="17"/>
      <c r="F467" s="34"/>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34"/>
      <c r="D468" s="35"/>
      <c r="E468" s="17"/>
      <c r="F468" s="34"/>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34"/>
      <c r="D469" s="35"/>
      <c r="E469" s="17"/>
      <c r="F469" s="34"/>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34"/>
      <c r="D470" s="35"/>
      <c r="E470" s="17"/>
      <c r="F470" s="34"/>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34"/>
      <c r="D471" s="35"/>
      <c r="E471" s="17"/>
      <c r="F471" s="34"/>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34"/>
      <c r="D472" s="35"/>
      <c r="E472" s="17"/>
      <c r="F472" s="34"/>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34"/>
      <c r="D473" s="35"/>
      <c r="E473" s="17"/>
      <c r="F473" s="34"/>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34"/>
      <c r="D474" s="35"/>
      <c r="E474" s="17"/>
      <c r="F474" s="34"/>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34"/>
      <c r="D475" s="35"/>
      <c r="E475" s="17"/>
      <c r="F475" s="34"/>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34"/>
      <c r="D476" s="35"/>
      <c r="E476" s="17"/>
      <c r="F476" s="34"/>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34"/>
      <c r="D477" s="35"/>
      <c r="E477" s="17"/>
      <c r="F477" s="34"/>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34"/>
      <c r="D478" s="35"/>
      <c r="E478" s="17"/>
      <c r="F478" s="34"/>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34"/>
      <c r="D479" s="35"/>
      <c r="E479" s="17"/>
      <c r="F479" s="34"/>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34"/>
      <c r="D480" s="35"/>
      <c r="E480" s="17"/>
      <c r="F480" s="34"/>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34"/>
      <c r="D481" s="35"/>
      <c r="E481" s="17"/>
      <c r="F481" s="34"/>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34"/>
      <c r="D482" s="35"/>
      <c r="E482" s="17"/>
      <c r="F482" s="34"/>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34"/>
      <c r="D483" s="35"/>
      <c r="E483" s="17"/>
      <c r="F483" s="34"/>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34"/>
      <c r="D484" s="35"/>
      <c r="E484" s="17"/>
      <c r="F484" s="34"/>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34"/>
      <c r="D485" s="35"/>
      <c r="E485" s="17"/>
      <c r="F485" s="34"/>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34"/>
      <c r="D486" s="35"/>
      <c r="E486" s="17"/>
      <c r="F486" s="34"/>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34"/>
      <c r="D487" s="35"/>
      <c r="E487" s="17"/>
      <c r="F487" s="34"/>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34"/>
      <c r="D488" s="35"/>
      <c r="E488" s="17"/>
      <c r="F488" s="34"/>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34"/>
      <c r="D489" s="35"/>
      <c r="E489" s="17"/>
      <c r="F489" s="34"/>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34"/>
      <c r="D490" s="35"/>
      <c r="E490" s="17"/>
      <c r="F490" s="34"/>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34"/>
      <c r="D491" s="35"/>
      <c r="E491" s="17"/>
      <c r="F491" s="34"/>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34"/>
      <c r="D492" s="35"/>
      <c r="E492" s="17"/>
      <c r="F492" s="34"/>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34"/>
      <c r="D493" s="35"/>
      <c r="E493" s="17"/>
      <c r="F493" s="34"/>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34"/>
      <c r="D494" s="35"/>
      <c r="E494" s="17"/>
      <c r="F494" s="34"/>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34"/>
      <c r="D495" s="35"/>
      <c r="E495" s="17"/>
      <c r="F495" s="34"/>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34"/>
      <c r="D496" s="35"/>
      <c r="E496" s="17"/>
      <c r="F496" s="34"/>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34"/>
      <c r="D497" s="35"/>
      <c r="E497" s="17"/>
      <c r="F497" s="34"/>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34"/>
      <c r="D498" s="35"/>
      <c r="E498" s="17"/>
      <c r="F498" s="34"/>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34"/>
      <c r="D499" s="35"/>
      <c r="E499" s="17"/>
      <c r="F499" s="34"/>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34"/>
      <c r="D500" s="35"/>
      <c r="E500" s="17"/>
      <c r="F500" s="34"/>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34"/>
      <c r="D501" s="35"/>
      <c r="E501" s="17"/>
      <c r="F501" s="34"/>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34"/>
      <c r="D502" s="35"/>
      <c r="E502" s="17"/>
      <c r="F502" s="34"/>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34"/>
      <c r="D503" s="35"/>
      <c r="E503" s="17"/>
      <c r="F503" s="34"/>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34"/>
      <c r="D504" s="35"/>
      <c r="E504" s="17"/>
      <c r="F504" s="34"/>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34"/>
      <c r="D505" s="35"/>
      <c r="E505" s="17"/>
      <c r="F505" s="34"/>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34"/>
      <c r="D506" s="35"/>
      <c r="E506" s="17"/>
      <c r="F506" s="34"/>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34"/>
      <c r="D507" s="35"/>
      <c r="E507" s="17"/>
      <c r="F507" s="34"/>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34"/>
      <c r="D508" s="35"/>
      <c r="E508" s="17"/>
      <c r="F508" s="34"/>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34"/>
      <c r="D509" s="35"/>
      <c r="E509" s="17"/>
      <c r="F509" s="34"/>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34"/>
      <c r="D510" s="35"/>
      <c r="E510" s="17"/>
      <c r="F510" s="34"/>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34"/>
      <c r="D511" s="35"/>
      <c r="E511" s="17"/>
      <c r="F511" s="34"/>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34"/>
      <c r="D512" s="35"/>
      <c r="E512" s="17"/>
      <c r="F512" s="34"/>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34"/>
      <c r="D513" s="35"/>
      <c r="E513" s="17"/>
      <c r="F513" s="34"/>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34"/>
      <c r="D514" s="35"/>
      <c r="E514" s="17"/>
      <c r="F514" s="34"/>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34"/>
      <c r="D515" s="35"/>
      <c r="E515" s="17"/>
      <c r="F515" s="34"/>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34"/>
      <c r="D516" s="35"/>
      <c r="E516" s="17"/>
      <c r="F516" s="34"/>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34"/>
      <c r="D517" s="35"/>
      <c r="E517" s="17"/>
      <c r="F517" s="34"/>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34"/>
      <c r="D518" s="35"/>
      <c r="E518" s="17"/>
      <c r="F518" s="34"/>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34"/>
      <c r="D519" s="35"/>
      <c r="E519" s="17"/>
      <c r="F519" s="34"/>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34"/>
      <c r="D520" s="35"/>
      <c r="E520" s="17"/>
      <c r="F520" s="34"/>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34"/>
      <c r="D521" s="35"/>
      <c r="E521" s="17"/>
      <c r="F521" s="34"/>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34"/>
      <c r="D522" s="35"/>
      <c r="E522" s="17"/>
      <c r="F522" s="34"/>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34"/>
      <c r="D523" s="35"/>
      <c r="E523" s="17"/>
      <c r="F523" s="34"/>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34"/>
      <c r="D524" s="35"/>
      <c r="E524" s="17"/>
      <c r="F524" s="34"/>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34"/>
      <c r="D525" s="35"/>
      <c r="E525" s="17"/>
      <c r="F525" s="34"/>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34"/>
      <c r="D526" s="35"/>
      <c r="E526" s="17"/>
      <c r="F526" s="34"/>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34"/>
      <c r="D527" s="35"/>
      <c r="E527" s="17"/>
      <c r="F527" s="34"/>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34"/>
      <c r="D528" s="35"/>
      <c r="E528" s="17"/>
      <c r="F528" s="34"/>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34"/>
      <c r="D529" s="35"/>
      <c r="E529" s="17"/>
      <c r="F529" s="34"/>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34"/>
      <c r="D530" s="35"/>
      <c r="E530" s="17"/>
      <c r="F530" s="34"/>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34"/>
      <c r="D531" s="35"/>
      <c r="E531" s="17"/>
      <c r="F531" s="34"/>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34"/>
      <c r="D532" s="35"/>
      <c r="E532" s="17"/>
      <c r="F532" s="34"/>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34"/>
      <c r="D533" s="35"/>
      <c r="E533" s="17"/>
      <c r="F533" s="34"/>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34"/>
      <c r="D534" s="35"/>
      <c r="E534" s="17"/>
      <c r="F534" s="34"/>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34"/>
      <c r="D535" s="35"/>
      <c r="E535" s="17"/>
      <c r="F535" s="34"/>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34"/>
      <c r="D536" s="35"/>
      <c r="E536" s="17"/>
      <c r="F536" s="34"/>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34"/>
      <c r="D537" s="35"/>
      <c r="E537" s="17"/>
      <c r="F537" s="34"/>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34"/>
      <c r="D538" s="35"/>
      <c r="E538" s="17"/>
      <c r="F538" s="34"/>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34"/>
      <c r="D539" s="35"/>
      <c r="E539" s="17"/>
      <c r="F539" s="34"/>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34"/>
      <c r="D540" s="35"/>
      <c r="E540" s="17"/>
      <c r="F540" s="34"/>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34"/>
      <c r="D541" s="35"/>
      <c r="E541" s="17"/>
      <c r="F541" s="34"/>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34"/>
      <c r="D542" s="35"/>
      <c r="E542" s="17"/>
      <c r="F542" s="34"/>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34"/>
      <c r="D543" s="35"/>
      <c r="E543" s="17"/>
      <c r="F543" s="34"/>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34"/>
      <c r="D544" s="35"/>
      <c r="E544" s="17"/>
      <c r="F544" s="34"/>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34"/>
      <c r="D545" s="35"/>
      <c r="E545" s="17"/>
      <c r="F545" s="34"/>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34"/>
      <c r="D546" s="35"/>
      <c r="E546" s="17"/>
      <c r="F546" s="34"/>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34"/>
      <c r="D547" s="35"/>
      <c r="E547" s="17"/>
      <c r="F547" s="34"/>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34"/>
      <c r="D548" s="35"/>
      <c r="E548" s="17"/>
      <c r="F548" s="34"/>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34"/>
      <c r="D549" s="35"/>
      <c r="E549" s="17"/>
      <c r="F549" s="34"/>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34"/>
      <c r="D550" s="35"/>
      <c r="E550" s="17"/>
      <c r="F550" s="34"/>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34"/>
      <c r="D551" s="35"/>
      <c r="E551" s="17"/>
      <c r="F551" s="34"/>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34"/>
      <c r="D552" s="35"/>
      <c r="E552" s="17"/>
      <c r="F552" s="34"/>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34"/>
      <c r="D553" s="35"/>
      <c r="E553" s="17"/>
      <c r="F553" s="34"/>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34"/>
      <c r="D554" s="35"/>
      <c r="E554" s="17"/>
      <c r="F554" s="34"/>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34"/>
      <c r="D555" s="35"/>
      <c r="E555" s="17"/>
      <c r="F555" s="34"/>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34"/>
      <c r="D556" s="35"/>
      <c r="E556" s="17"/>
      <c r="F556" s="34"/>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34"/>
      <c r="D557" s="35"/>
      <c r="E557" s="17"/>
      <c r="F557" s="34"/>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34"/>
      <c r="D558" s="35"/>
      <c r="E558" s="17"/>
      <c r="F558" s="34"/>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34"/>
      <c r="D559" s="35"/>
      <c r="E559" s="17"/>
      <c r="F559" s="34"/>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34"/>
      <c r="D560" s="35"/>
      <c r="E560" s="17"/>
      <c r="F560" s="34"/>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34"/>
      <c r="D561" s="35"/>
      <c r="E561" s="17"/>
      <c r="F561" s="34"/>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34"/>
      <c r="D562" s="35"/>
      <c r="E562" s="17"/>
      <c r="F562" s="34"/>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34"/>
      <c r="D563" s="35"/>
      <c r="E563" s="17"/>
      <c r="F563" s="34"/>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34"/>
      <c r="D564" s="35"/>
      <c r="E564" s="17"/>
      <c r="F564" s="34"/>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34"/>
      <c r="D565" s="35"/>
      <c r="E565" s="17"/>
      <c r="F565" s="34"/>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34"/>
      <c r="D566" s="35"/>
      <c r="E566" s="17"/>
      <c r="F566" s="34"/>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34"/>
      <c r="D567" s="35"/>
      <c r="E567" s="17"/>
      <c r="F567" s="34"/>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34"/>
      <c r="D568" s="35"/>
      <c r="E568" s="17"/>
      <c r="F568" s="34"/>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34"/>
      <c r="D569" s="35"/>
      <c r="E569" s="17"/>
      <c r="F569" s="34"/>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34"/>
      <c r="D570" s="35"/>
      <c r="E570" s="17"/>
      <c r="F570" s="34"/>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34"/>
      <c r="D571" s="35"/>
      <c r="E571" s="17"/>
      <c r="F571" s="34"/>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34"/>
      <c r="D572" s="35"/>
      <c r="E572" s="17"/>
      <c r="F572" s="34"/>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34"/>
      <c r="D573" s="35"/>
      <c r="E573" s="17"/>
      <c r="F573" s="34"/>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34"/>
      <c r="D574" s="35"/>
      <c r="E574" s="17"/>
      <c r="F574" s="34"/>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34"/>
      <c r="D575" s="35"/>
      <c r="E575" s="17"/>
      <c r="F575" s="34"/>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34"/>
      <c r="D576" s="35"/>
      <c r="E576" s="17"/>
      <c r="F576" s="34"/>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34"/>
      <c r="D577" s="35"/>
      <c r="E577" s="17"/>
      <c r="F577" s="34"/>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34"/>
      <c r="D578" s="35"/>
      <c r="E578" s="17"/>
      <c r="F578" s="34"/>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34"/>
      <c r="D579" s="35"/>
      <c r="E579" s="17"/>
      <c r="F579" s="34"/>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34"/>
      <c r="D580" s="35"/>
      <c r="E580" s="17"/>
      <c r="F580" s="34"/>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34"/>
      <c r="D581" s="35"/>
      <c r="E581" s="17"/>
      <c r="F581" s="34"/>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34"/>
      <c r="D582" s="35"/>
      <c r="E582" s="17"/>
      <c r="F582" s="34"/>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34"/>
      <c r="D583" s="35"/>
      <c r="E583" s="17"/>
      <c r="F583" s="34"/>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34"/>
      <c r="D584" s="35"/>
      <c r="E584" s="17"/>
      <c r="F584" s="34"/>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34"/>
      <c r="D585" s="35"/>
      <c r="E585" s="17"/>
      <c r="F585" s="34"/>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34"/>
      <c r="D586" s="35"/>
      <c r="E586" s="17"/>
      <c r="F586" s="34"/>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34"/>
      <c r="D587" s="35"/>
      <c r="E587" s="17"/>
      <c r="F587" s="34"/>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34"/>
      <c r="D588" s="35"/>
      <c r="E588" s="17"/>
      <c r="F588" s="34"/>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34"/>
      <c r="D589" s="35"/>
      <c r="E589" s="17"/>
      <c r="F589" s="34"/>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34"/>
      <c r="D590" s="35"/>
      <c r="E590" s="17"/>
      <c r="F590" s="34"/>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34"/>
      <c r="D591" s="35"/>
      <c r="E591" s="17"/>
      <c r="F591" s="34"/>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34"/>
      <c r="D592" s="35"/>
      <c r="E592" s="17"/>
      <c r="F592" s="34"/>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34"/>
      <c r="D593" s="35"/>
      <c r="E593" s="17"/>
      <c r="F593" s="34"/>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34"/>
      <c r="D594" s="35"/>
      <c r="E594" s="17"/>
      <c r="F594" s="34"/>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34"/>
      <c r="D595" s="35"/>
      <c r="E595" s="17"/>
      <c r="F595" s="34"/>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34"/>
      <c r="D596" s="35"/>
      <c r="E596" s="17"/>
      <c r="F596" s="34"/>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34"/>
      <c r="D597" s="35"/>
      <c r="E597" s="17"/>
      <c r="F597" s="34"/>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34"/>
      <c r="D598" s="35"/>
      <c r="E598" s="17"/>
      <c r="F598" s="34"/>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34"/>
      <c r="D599" s="35"/>
      <c r="E599" s="17"/>
      <c r="F599" s="34"/>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34"/>
      <c r="D600" s="35"/>
      <c r="E600" s="17"/>
      <c r="F600" s="34"/>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34"/>
      <c r="D601" s="35"/>
      <c r="E601" s="17"/>
      <c r="F601" s="34"/>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34"/>
      <c r="D602" s="35"/>
      <c r="E602" s="17"/>
      <c r="F602" s="34"/>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34"/>
      <c r="D603" s="35"/>
      <c r="E603" s="17"/>
      <c r="F603" s="34"/>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34"/>
      <c r="D604" s="35"/>
      <c r="E604" s="17"/>
      <c r="F604" s="34"/>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34"/>
      <c r="D605" s="35"/>
      <c r="E605" s="17"/>
      <c r="F605" s="34"/>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34"/>
      <c r="D606" s="35"/>
      <c r="E606" s="17"/>
      <c r="F606" s="34"/>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34"/>
      <c r="D607" s="35"/>
      <c r="E607" s="17"/>
      <c r="F607" s="34"/>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34"/>
      <c r="D608" s="35"/>
      <c r="E608" s="17"/>
      <c r="F608" s="34"/>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34"/>
      <c r="D609" s="35"/>
      <c r="E609" s="17"/>
      <c r="F609" s="34"/>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34"/>
      <c r="D610" s="35"/>
      <c r="E610" s="17"/>
      <c r="F610" s="34"/>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34"/>
      <c r="D611" s="35"/>
      <c r="E611" s="17"/>
      <c r="F611" s="34"/>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34"/>
      <c r="D612" s="35"/>
      <c r="E612" s="17"/>
      <c r="F612" s="34"/>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34"/>
      <c r="D613" s="35"/>
      <c r="E613" s="17"/>
      <c r="F613" s="34"/>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34"/>
      <c r="D614" s="35"/>
      <c r="E614" s="17"/>
      <c r="F614" s="34"/>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34"/>
      <c r="D615" s="35"/>
      <c r="E615" s="17"/>
      <c r="F615" s="34"/>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34"/>
      <c r="D616" s="35"/>
      <c r="E616" s="17"/>
      <c r="F616" s="34"/>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34"/>
      <c r="D617" s="35"/>
      <c r="E617" s="17"/>
      <c r="F617" s="34"/>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34"/>
      <c r="D618" s="35"/>
      <c r="E618" s="17"/>
      <c r="F618" s="34"/>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34"/>
      <c r="D619" s="35"/>
      <c r="E619" s="17"/>
      <c r="F619" s="34"/>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34"/>
      <c r="D620" s="35"/>
      <c r="E620" s="17"/>
      <c r="F620" s="34"/>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34"/>
      <c r="D621" s="35"/>
      <c r="E621" s="17"/>
      <c r="F621" s="34"/>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34"/>
      <c r="D622" s="35"/>
      <c r="E622" s="17"/>
      <c r="F622" s="34"/>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34"/>
      <c r="D623" s="35"/>
      <c r="E623" s="17"/>
      <c r="F623" s="34"/>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34"/>
      <c r="D624" s="35"/>
      <c r="E624" s="17"/>
      <c r="F624" s="34"/>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34"/>
      <c r="D625" s="35"/>
      <c r="E625" s="17"/>
      <c r="F625" s="34"/>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34"/>
      <c r="D626" s="35"/>
      <c r="E626" s="17"/>
      <c r="F626" s="34"/>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34"/>
      <c r="D627" s="35"/>
      <c r="E627" s="17"/>
      <c r="F627" s="34"/>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34"/>
      <c r="D628" s="35"/>
      <c r="E628" s="17"/>
      <c r="F628" s="34"/>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34"/>
      <c r="D629" s="35"/>
      <c r="E629" s="17"/>
      <c r="F629" s="34"/>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34"/>
      <c r="D630" s="35"/>
      <c r="E630" s="17"/>
      <c r="F630" s="34"/>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34"/>
      <c r="D631" s="35"/>
      <c r="E631" s="17"/>
      <c r="F631" s="34"/>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34"/>
      <c r="D632" s="35"/>
      <c r="E632" s="17"/>
      <c r="F632" s="34"/>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34"/>
      <c r="D633" s="35"/>
      <c r="E633" s="17"/>
      <c r="F633" s="34"/>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34"/>
      <c r="D634" s="35"/>
      <c r="E634" s="17"/>
      <c r="F634" s="34"/>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34"/>
      <c r="D635" s="35"/>
      <c r="E635" s="17"/>
      <c r="F635" s="34"/>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34"/>
      <c r="D636" s="35"/>
      <c r="E636" s="17"/>
      <c r="F636" s="34"/>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34"/>
      <c r="D637" s="35"/>
      <c r="E637" s="17"/>
      <c r="F637" s="34"/>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34"/>
      <c r="D638" s="35"/>
      <c r="E638" s="17"/>
      <c r="F638" s="34"/>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34"/>
      <c r="D639" s="35"/>
      <c r="E639" s="17"/>
      <c r="F639" s="34"/>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34"/>
      <c r="D640" s="35"/>
      <c r="E640" s="17"/>
      <c r="F640" s="34"/>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34"/>
      <c r="D641" s="35"/>
      <c r="E641" s="17"/>
      <c r="F641" s="34"/>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34"/>
      <c r="D642" s="35"/>
      <c r="E642" s="17"/>
      <c r="F642" s="34"/>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34"/>
      <c r="D643" s="35"/>
      <c r="E643" s="17"/>
      <c r="F643" s="34"/>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34"/>
      <c r="D644" s="35"/>
      <c r="E644" s="17"/>
      <c r="F644" s="34"/>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34"/>
      <c r="D645" s="35"/>
      <c r="E645" s="17"/>
      <c r="F645" s="34"/>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34"/>
      <c r="D646" s="35"/>
      <c r="E646" s="17"/>
      <c r="F646" s="34"/>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34"/>
      <c r="D647" s="35"/>
      <c r="E647" s="17"/>
      <c r="F647" s="34"/>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34"/>
      <c r="D648" s="35"/>
      <c r="E648" s="17"/>
      <c r="F648" s="34"/>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34"/>
      <c r="D649" s="35"/>
      <c r="E649" s="17"/>
      <c r="F649" s="34"/>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34"/>
      <c r="D650" s="35"/>
      <c r="E650" s="17"/>
      <c r="F650" s="34"/>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34"/>
      <c r="D651" s="35"/>
      <c r="E651" s="17"/>
      <c r="F651" s="34"/>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34"/>
      <c r="D652" s="35"/>
      <c r="E652" s="17"/>
      <c r="F652" s="34"/>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34"/>
      <c r="D653" s="35"/>
      <c r="E653" s="17"/>
      <c r="F653" s="34"/>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34"/>
      <c r="D654" s="35"/>
      <c r="E654" s="17"/>
      <c r="F654" s="34"/>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34"/>
      <c r="D655" s="35"/>
      <c r="E655" s="17"/>
      <c r="F655" s="34"/>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34"/>
      <c r="D656" s="35"/>
      <c r="E656" s="17"/>
      <c r="F656" s="34"/>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34"/>
      <c r="D657" s="35"/>
      <c r="E657" s="17"/>
      <c r="F657" s="34"/>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34"/>
      <c r="D658" s="35"/>
      <c r="E658" s="17"/>
      <c r="F658" s="34"/>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34"/>
      <c r="D659" s="35"/>
      <c r="E659" s="17"/>
      <c r="F659" s="34"/>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34"/>
      <c r="D660" s="35"/>
      <c r="E660" s="17"/>
      <c r="F660" s="34"/>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34"/>
      <c r="D661" s="35"/>
      <c r="E661" s="17"/>
      <c r="F661" s="34"/>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34"/>
      <c r="D662" s="35"/>
      <c r="E662" s="17"/>
      <c r="F662" s="34"/>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34"/>
      <c r="D663" s="35"/>
      <c r="E663" s="17"/>
      <c r="F663" s="34"/>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34"/>
      <c r="D664" s="35"/>
      <c r="E664" s="17"/>
      <c r="F664" s="34"/>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34"/>
      <c r="D665" s="35"/>
      <c r="E665" s="17"/>
      <c r="F665" s="34"/>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34"/>
      <c r="D666" s="35"/>
      <c r="E666" s="17"/>
      <c r="F666" s="34"/>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34"/>
      <c r="D667" s="35"/>
      <c r="E667" s="17"/>
      <c r="F667" s="34"/>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34"/>
      <c r="D668" s="35"/>
      <c r="E668" s="17"/>
      <c r="F668" s="34"/>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34"/>
      <c r="D669" s="35"/>
      <c r="E669" s="17"/>
      <c r="F669" s="34"/>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34"/>
      <c r="D670" s="35"/>
      <c r="E670" s="17"/>
      <c r="F670" s="34"/>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34"/>
      <c r="D671" s="35"/>
      <c r="E671" s="17"/>
      <c r="F671" s="34"/>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34"/>
      <c r="D672" s="35"/>
      <c r="E672" s="17"/>
      <c r="F672" s="34"/>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34"/>
      <c r="D673" s="35"/>
      <c r="E673" s="17"/>
      <c r="F673" s="34"/>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34"/>
      <c r="D674" s="35"/>
      <c r="E674" s="17"/>
      <c r="F674" s="34"/>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34"/>
      <c r="D675" s="35"/>
      <c r="E675" s="17"/>
      <c r="F675" s="34"/>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34"/>
      <c r="D676" s="35"/>
      <c r="E676" s="17"/>
      <c r="F676" s="34"/>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34"/>
      <c r="D677" s="35"/>
      <c r="E677" s="17"/>
      <c r="F677" s="34"/>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34"/>
      <c r="D678" s="35"/>
      <c r="E678" s="17"/>
      <c r="F678" s="34"/>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34"/>
      <c r="D679" s="35"/>
      <c r="E679" s="17"/>
      <c r="F679" s="34"/>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34"/>
      <c r="D680" s="35"/>
      <c r="E680" s="17"/>
      <c r="F680" s="34"/>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34"/>
      <c r="D681" s="35"/>
      <c r="E681" s="17"/>
      <c r="F681" s="34"/>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34"/>
      <c r="D682" s="35"/>
      <c r="E682" s="17"/>
      <c r="F682" s="34"/>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34"/>
      <c r="D683" s="35"/>
      <c r="E683" s="17"/>
      <c r="F683" s="34"/>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34"/>
      <c r="D684" s="35"/>
      <c r="E684" s="17"/>
      <c r="F684" s="34"/>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34"/>
      <c r="D685" s="35"/>
      <c r="E685" s="17"/>
      <c r="F685" s="34"/>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34"/>
      <c r="D686" s="35"/>
      <c r="E686" s="17"/>
      <c r="F686" s="34"/>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34"/>
      <c r="D687" s="35"/>
      <c r="E687" s="17"/>
      <c r="F687" s="34"/>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34"/>
      <c r="D688" s="35"/>
      <c r="E688" s="17"/>
      <c r="F688" s="34"/>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34"/>
      <c r="D689" s="35"/>
      <c r="E689" s="17"/>
      <c r="F689" s="34"/>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34"/>
      <c r="D690" s="35"/>
      <c r="E690" s="17"/>
      <c r="F690" s="34"/>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34"/>
      <c r="D691" s="35"/>
      <c r="E691" s="17"/>
      <c r="F691" s="34"/>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34"/>
      <c r="D692" s="35"/>
      <c r="E692" s="17"/>
      <c r="F692" s="34"/>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34"/>
      <c r="D693" s="35"/>
      <c r="E693" s="17"/>
      <c r="F693" s="34"/>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34"/>
      <c r="D694" s="35"/>
      <c r="E694" s="17"/>
      <c r="F694" s="34"/>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34"/>
      <c r="D695" s="35"/>
      <c r="E695" s="17"/>
      <c r="F695" s="34"/>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34"/>
      <c r="D696" s="35"/>
      <c r="E696" s="17"/>
      <c r="F696" s="34"/>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34"/>
      <c r="D697" s="35"/>
      <c r="E697" s="17"/>
      <c r="F697" s="34"/>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34"/>
      <c r="D698" s="35"/>
      <c r="E698" s="17"/>
      <c r="F698" s="34"/>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34"/>
      <c r="D699" s="35"/>
      <c r="E699" s="17"/>
      <c r="F699" s="34"/>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34"/>
      <c r="D700" s="35"/>
      <c r="E700" s="17"/>
      <c r="F700" s="34"/>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34"/>
      <c r="D701" s="35"/>
      <c r="E701" s="17"/>
      <c r="F701" s="34"/>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34"/>
      <c r="D702" s="35"/>
      <c r="E702" s="17"/>
      <c r="F702" s="34"/>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34"/>
      <c r="D703" s="35"/>
      <c r="E703" s="17"/>
      <c r="F703" s="34"/>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34"/>
      <c r="D704" s="35"/>
      <c r="E704" s="17"/>
      <c r="F704" s="34"/>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34"/>
      <c r="D705" s="35"/>
      <c r="E705" s="17"/>
      <c r="F705" s="34"/>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34"/>
      <c r="D706" s="35"/>
      <c r="E706" s="17"/>
      <c r="F706" s="34"/>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34"/>
      <c r="D707" s="35"/>
      <c r="E707" s="17"/>
      <c r="F707" s="34"/>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34"/>
      <c r="D708" s="35"/>
      <c r="E708" s="17"/>
      <c r="F708" s="34"/>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34"/>
      <c r="D709" s="35"/>
      <c r="E709" s="17"/>
      <c r="F709" s="34"/>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34"/>
      <c r="D710" s="35"/>
      <c r="E710" s="17"/>
      <c r="F710" s="34"/>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34"/>
      <c r="D711" s="35"/>
      <c r="E711" s="17"/>
      <c r="F711" s="34"/>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34"/>
      <c r="D712" s="35"/>
      <c r="E712" s="17"/>
      <c r="F712" s="34"/>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34"/>
      <c r="D713" s="35"/>
      <c r="E713" s="17"/>
      <c r="F713" s="34"/>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34"/>
      <c r="D714" s="35"/>
      <c r="E714" s="17"/>
      <c r="F714" s="34"/>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34"/>
      <c r="D715" s="35"/>
      <c r="E715" s="17"/>
      <c r="F715" s="34"/>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34"/>
      <c r="D716" s="35"/>
      <c r="E716" s="17"/>
      <c r="F716" s="34"/>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34"/>
      <c r="D717" s="35"/>
      <c r="E717" s="17"/>
      <c r="F717" s="34"/>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34"/>
      <c r="D718" s="35"/>
      <c r="E718" s="17"/>
      <c r="F718" s="34"/>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34"/>
      <c r="D719" s="35"/>
      <c r="E719" s="17"/>
      <c r="F719" s="34"/>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34"/>
      <c r="D720" s="35"/>
      <c r="E720" s="17"/>
      <c r="F720" s="34"/>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34"/>
      <c r="D721" s="35"/>
      <c r="E721" s="17"/>
      <c r="F721" s="34"/>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34"/>
      <c r="D722" s="35"/>
      <c r="E722" s="17"/>
      <c r="F722" s="34"/>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34"/>
      <c r="D723" s="35"/>
      <c r="E723" s="17"/>
      <c r="F723" s="34"/>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34"/>
      <c r="D724" s="35"/>
      <c r="E724" s="17"/>
      <c r="F724" s="34"/>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34"/>
      <c r="D725" s="35"/>
      <c r="E725" s="17"/>
      <c r="F725" s="34"/>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34"/>
      <c r="D726" s="35"/>
      <c r="E726" s="17"/>
      <c r="F726" s="34"/>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34"/>
      <c r="D727" s="35"/>
      <c r="E727" s="17"/>
      <c r="F727" s="34"/>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34"/>
      <c r="D728" s="35"/>
      <c r="E728" s="17"/>
      <c r="F728" s="34"/>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34"/>
      <c r="D729" s="35"/>
      <c r="E729" s="17"/>
      <c r="F729" s="34"/>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34"/>
      <c r="D730" s="35"/>
      <c r="E730" s="17"/>
      <c r="F730" s="34"/>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34"/>
      <c r="D731" s="35"/>
      <c r="E731" s="17"/>
      <c r="F731" s="34"/>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34"/>
      <c r="D732" s="35"/>
      <c r="E732" s="17"/>
      <c r="F732" s="34"/>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34"/>
      <c r="D733" s="35"/>
      <c r="E733" s="17"/>
      <c r="F733" s="34"/>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34"/>
      <c r="D734" s="35"/>
      <c r="E734" s="17"/>
      <c r="F734" s="34"/>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34"/>
      <c r="D735" s="35"/>
      <c r="E735" s="17"/>
      <c r="F735" s="34"/>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34"/>
      <c r="D736" s="35"/>
      <c r="E736" s="17"/>
      <c r="F736" s="34"/>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34"/>
      <c r="D737" s="35"/>
      <c r="E737" s="17"/>
      <c r="F737" s="34"/>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34"/>
      <c r="D738" s="35"/>
      <c r="E738" s="17"/>
      <c r="F738" s="34"/>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34"/>
      <c r="D739" s="35"/>
      <c r="E739" s="17"/>
      <c r="F739" s="34"/>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34"/>
      <c r="D740" s="35"/>
      <c r="E740" s="17"/>
      <c r="F740" s="34"/>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34"/>
      <c r="D741" s="35"/>
      <c r="E741" s="17"/>
      <c r="F741" s="34"/>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34"/>
      <c r="D742" s="35"/>
      <c r="E742" s="17"/>
      <c r="F742" s="34"/>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34"/>
      <c r="D743" s="35"/>
      <c r="E743" s="17"/>
      <c r="F743" s="34"/>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34"/>
      <c r="D744" s="35"/>
      <c r="E744" s="17"/>
      <c r="F744" s="34"/>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34"/>
      <c r="D745" s="35"/>
      <c r="E745" s="17"/>
      <c r="F745" s="34"/>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34"/>
      <c r="D746" s="35"/>
      <c r="E746" s="17"/>
      <c r="F746" s="34"/>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34"/>
      <c r="D747" s="35"/>
      <c r="E747" s="17"/>
      <c r="F747" s="34"/>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34"/>
      <c r="D748" s="35"/>
      <c r="E748" s="17"/>
      <c r="F748" s="34"/>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34"/>
      <c r="D749" s="35"/>
      <c r="E749" s="17"/>
      <c r="F749" s="34"/>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34"/>
      <c r="D750" s="35"/>
      <c r="E750" s="17"/>
      <c r="F750" s="34"/>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34"/>
      <c r="D751" s="35"/>
      <c r="E751" s="17"/>
      <c r="F751" s="34"/>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34"/>
      <c r="D752" s="35"/>
      <c r="E752" s="17"/>
      <c r="F752" s="34"/>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34"/>
      <c r="D753" s="35"/>
      <c r="E753" s="17"/>
      <c r="F753" s="34"/>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34"/>
      <c r="D754" s="35"/>
      <c r="E754" s="17"/>
      <c r="F754" s="34"/>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34"/>
      <c r="D755" s="35"/>
      <c r="E755" s="17"/>
      <c r="F755" s="34"/>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34"/>
      <c r="D756" s="35"/>
      <c r="E756" s="17"/>
      <c r="F756" s="34"/>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34"/>
      <c r="D757" s="35"/>
      <c r="E757" s="17"/>
      <c r="F757" s="34"/>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34"/>
      <c r="D758" s="35"/>
      <c r="E758" s="17"/>
      <c r="F758" s="34"/>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34"/>
      <c r="D759" s="35"/>
      <c r="E759" s="17"/>
      <c r="F759" s="34"/>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34"/>
      <c r="D760" s="35"/>
      <c r="E760" s="17"/>
      <c r="F760" s="34"/>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34"/>
      <c r="D761" s="35"/>
      <c r="E761" s="17"/>
      <c r="F761" s="34"/>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34"/>
      <c r="D762" s="35"/>
      <c r="E762" s="17"/>
      <c r="F762" s="34"/>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34"/>
      <c r="D763" s="35"/>
      <c r="E763" s="17"/>
      <c r="F763" s="34"/>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34"/>
      <c r="D764" s="35"/>
      <c r="E764" s="17"/>
      <c r="F764" s="34"/>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34"/>
      <c r="D765" s="35"/>
      <c r="E765" s="17"/>
      <c r="F765" s="34"/>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34"/>
      <c r="D766" s="35"/>
      <c r="E766" s="17"/>
      <c r="F766" s="34"/>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34"/>
      <c r="D767" s="35"/>
      <c r="E767" s="17"/>
      <c r="F767" s="34"/>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34"/>
      <c r="D768" s="35"/>
      <c r="E768" s="17"/>
      <c r="F768" s="34"/>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34"/>
      <c r="D769" s="35"/>
      <c r="E769" s="17"/>
      <c r="F769" s="34"/>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34"/>
      <c r="D770" s="35"/>
      <c r="E770" s="17"/>
      <c r="F770" s="34"/>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34"/>
      <c r="D771" s="35"/>
      <c r="E771" s="17"/>
      <c r="F771" s="34"/>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34"/>
      <c r="D772" s="35"/>
      <c r="E772" s="17"/>
      <c r="F772" s="34"/>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34"/>
      <c r="D773" s="35"/>
      <c r="E773" s="17"/>
      <c r="F773" s="34"/>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34"/>
      <c r="D774" s="35"/>
      <c r="E774" s="17"/>
      <c r="F774" s="34"/>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34"/>
      <c r="D775" s="35"/>
      <c r="E775" s="17"/>
      <c r="F775" s="34"/>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34"/>
      <c r="D776" s="35"/>
      <c r="E776" s="17"/>
      <c r="F776" s="34"/>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34"/>
      <c r="D777" s="35"/>
      <c r="E777" s="17"/>
      <c r="F777" s="34"/>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34"/>
      <c r="D778" s="35"/>
      <c r="E778" s="17"/>
      <c r="F778" s="34"/>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34"/>
      <c r="D779" s="35"/>
      <c r="E779" s="17"/>
      <c r="F779" s="34"/>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34"/>
      <c r="D780" s="35"/>
      <c r="E780" s="17"/>
      <c r="F780" s="34"/>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34"/>
      <c r="D781" s="35"/>
      <c r="E781" s="17"/>
      <c r="F781" s="34"/>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34"/>
      <c r="D782" s="35"/>
      <c r="E782" s="17"/>
      <c r="F782" s="34"/>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34"/>
      <c r="D783" s="35"/>
      <c r="E783" s="17"/>
      <c r="F783" s="34"/>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34"/>
      <c r="D784" s="35"/>
      <c r="E784" s="17"/>
      <c r="F784" s="34"/>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34"/>
      <c r="D785" s="35"/>
      <c r="E785" s="17"/>
      <c r="F785" s="34"/>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34"/>
      <c r="D786" s="35"/>
      <c r="E786" s="17"/>
      <c r="F786" s="34"/>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34"/>
      <c r="D787" s="35"/>
      <c r="E787" s="17"/>
      <c r="F787" s="34"/>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34"/>
      <c r="D788" s="35"/>
      <c r="E788" s="17"/>
      <c r="F788" s="34"/>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34"/>
      <c r="D789" s="35"/>
      <c r="E789" s="17"/>
      <c r="F789" s="34"/>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34"/>
      <c r="D790" s="35"/>
      <c r="E790" s="17"/>
      <c r="F790" s="34"/>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34"/>
      <c r="D791" s="35"/>
      <c r="E791" s="17"/>
      <c r="F791" s="34"/>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34"/>
      <c r="D792" s="35"/>
      <c r="E792" s="17"/>
      <c r="F792" s="34"/>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34"/>
      <c r="D793" s="35"/>
      <c r="E793" s="17"/>
      <c r="F793" s="34"/>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34"/>
      <c r="D794" s="35"/>
      <c r="E794" s="17"/>
      <c r="F794" s="34"/>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34"/>
      <c r="D795" s="35"/>
      <c r="E795" s="17"/>
      <c r="F795" s="34"/>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34"/>
      <c r="D796" s="35"/>
      <c r="E796" s="17"/>
      <c r="F796" s="34"/>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34"/>
      <c r="D797" s="35"/>
      <c r="E797" s="17"/>
      <c r="F797" s="34"/>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34"/>
      <c r="D798" s="35"/>
      <c r="E798" s="17"/>
      <c r="F798" s="34"/>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34"/>
      <c r="D799" s="35"/>
      <c r="E799" s="17"/>
      <c r="F799" s="34"/>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34"/>
      <c r="D800" s="35"/>
      <c r="E800" s="17"/>
      <c r="F800" s="34"/>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34"/>
      <c r="D801" s="35"/>
      <c r="E801" s="17"/>
      <c r="F801" s="34"/>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34"/>
      <c r="D802" s="35"/>
      <c r="E802" s="17"/>
      <c r="F802" s="34"/>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34"/>
      <c r="D803" s="35"/>
      <c r="E803" s="17"/>
      <c r="F803" s="34"/>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34"/>
      <c r="D804" s="35"/>
      <c r="E804" s="17"/>
      <c r="F804" s="34"/>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34"/>
      <c r="D805" s="35"/>
      <c r="E805" s="17"/>
      <c r="F805" s="34"/>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34"/>
      <c r="D806" s="35"/>
      <c r="E806" s="17"/>
      <c r="F806" s="34"/>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34"/>
      <c r="D807" s="35"/>
      <c r="E807" s="17"/>
      <c r="F807" s="34"/>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34"/>
      <c r="D808" s="35"/>
      <c r="E808" s="17"/>
      <c r="F808" s="34"/>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34"/>
      <c r="D809" s="35"/>
      <c r="E809" s="17"/>
      <c r="F809" s="34"/>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34"/>
      <c r="D810" s="35"/>
      <c r="E810" s="17"/>
      <c r="F810" s="34"/>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34"/>
      <c r="D811" s="35"/>
      <c r="E811" s="17"/>
      <c r="F811" s="34"/>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34"/>
      <c r="D812" s="35"/>
      <c r="E812" s="17"/>
      <c r="F812" s="34"/>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34"/>
      <c r="D813" s="35"/>
      <c r="E813" s="17"/>
      <c r="F813" s="34"/>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34"/>
      <c r="D814" s="35"/>
      <c r="E814" s="17"/>
      <c r="F814" s="34"/>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34"/>
      <c r="D815" s="35"/>
      <c r="E815" s="17"/>
      <c r="F815" s="34"/>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34"/>
      <c r="D816" s="35"/>
      <c r="E816" s="17"/>
      <c r="F816" s="34"/>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34"/>
      <c r="D817" s="35"/>
      <c r="E817" s="17"/>
      <c r="F817" s="34"/>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34"/>
      <c r="D818" s="35"/>
      <c r="E818" s="17"/>
      <c r="F818" s="34"/>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34"/>
      <c r="D819" s="35"/>
      <c r="E819" s="17"/>
      <c r="F819" s="34"/>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34"/>
      <c r="D820" s="35"/>
      <c r="E820" s="17"/>
      <c r="F820" s="34"/>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34"/>
      <c r="D821" s="35"/>
      <c r="E821" s="17"/>
      <c r="F821" s="34"/>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34"/>
      <c r="D822" s="35"/>
      <c r="E822" s="17"/>
      <c r="F822" s="34"/>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34"/>
      <c r="D823" s="35"/>
      <c r="E823" s="17"/>
      <c r="F823" s="34"/>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34"/>
      <c r="D824" s="35"/>
      <c r="E824" s="17"/>
      <c r="F824" s="34"/>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34"/>
      <c r="D825" s="35"/>
      <c r="E825" s="17"/>
      <c r="F825" s="34"/>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34"/>
      <c r="D826" s="35"/>
      <c r="E826" s="17"/>
      <c r="F826" s="34"/>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34"/>
      <c r="D827" s="35"/>
      <c r="E827" s="17"/>
      <c r="F827" s="34"/>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34"/>
      <c r="D828" s="35"/>
      <c r="E828" s="17"/>
      <c r="F828" s="34"/>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34"/>
      <c r="D829" s="35"/>
      <c r="E829" s="17"/>
      <c r="F829" s="34"/>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34"/>
      <c r="D830" s="35"/>
      <c r="E830" s="17"/>
      <c r="F830" s="34"/>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34"/>
      <c r="D831" s="35"/>
      <c r="E831" s="17"/>
      <c r="F831" s="34"/>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34"/>
      <c r="D832" s="35"/>
      <c r="E832" s="17"/>
      <c r="F832" s="34"/>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34"/>
      <c r="D833" s="35"/>
      <c r="E833" s="17"/>
      <c r="F833" s="34"/>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34"/>
      <c r="D834" s="35"/>
      <c r="E834" s="17"/>
      <c r="F834" s="34"/>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34"/>
      <c r="D835" s="35"/>
      <c r="E835" s="17"/>
      <c r="F835" s="34"/>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34"/>
      <c r="D836" s="35"/>
      <c r="E836" s="17"/>
      <c r="F836" s="34"/>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34"/>
      <c r="D837" s="35"/>
      <c r="E837" s="17"/>
      <c r="F837" s="34"/>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34"/>
      <c r="D838" s="35"/>
      <c r="E838" s="17"/>
      <c r="F838" s="34"/>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34"/>
      <c r="D839" s="35"/>
      <c r="E839" s="17"/>
      <c r="F839" s="34"/>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34"/>
      <c r="D840" s="35"/>
      <c r="E840" s="17"/>
      <c r="F840" s="34"/>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34"/>
      <c r="D841" s="35"/>
      <c r="E841" s="17"/>
      <c r="F841" s="34"/>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34"/>
      <c r="D842" s="35"/>
      <c r="E842" s="17"/>
      <c r="F842" s="34"/>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34"/>
      <c r="D843" s="35"/>
      <c r="E843" s="17"/>
      <c r="F843" s="34"/>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34"/>
      <c r="D844" s="35"/>
      <c r="E844" s="17"/>
      <c r="F844" s="34"/>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34"/>
      <c r="D845" s="35"/>
      <c r="E845" s="17"/>
      <c r="F845" s="34"/>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34"/>
      <c r="D846" s="35"/>
      <c r="E846" s="17"/>
      <c r="F846" s="34"/>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34"/>
      <c r="D847" s="35"/>
      <c r="E847" s="17"/>
      <c r="F847" s="34"/>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34"/>
      <c r="D848" s="35"/>
      <c r="E848" s="17"/>
      <c r="F848" s="34"/>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34"/>
      <c r="D849" s="35"/>
      <c r="E849" s="17"/>
      <c r="F849" s="34"/>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34"/>
      <c r="D850" s="35"/>
      <c r="E850" s="17"/>
      <c r="F850" s="34"/>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34"/>
      <c r="D851" s="35"/>
      <c r="E851" s="17"/>
      <c r="F851" s="34"/>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34"/>
      <c r="D852" s="35"/>
      <c r="E852" s="17"/>
      <c r="F852" s="34"/>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34"/>
      <c r="D853" s="35"/>
      <c r="E853" s="17"/>
      <c r="F853" s="34"/>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34"/>
      <c r="D854" s="35"/>
      <c r="E854" s="17"/>
      <c r="F854" s="34"/>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34"/>
      <c r="D855" s="35"/>
      <c r="E855" s="17"/>
      <c r="F855" s="34"/>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34"/>
      <c r="D856" s="35"/>
      <c r="E856" s="17"/>
      <c r="F856" s="34"/>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34"/>
      <c r="D857" s="35"/>
      <c r="E857" s="17"/>
      <c r="F857" s="34"/>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34"/>
      <c r="D858" s="35"/>
      <c r="E858" s="17"/>
      <c r="F858" s="34"/>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34"/>
      <c r="D859" s="35"/>
      <c r="E859" s="17"/>
      <c r="F859" s="34"/>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34"/>
      <c r="D860" s="35"/>
      <c r="E860" s="17"/>
      <c r="F860" s="34"/>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34"/>
      <c r="D861" s="35"/>
      <c r="E861" s="17"/>
      <c r="F861" s="34"/>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34"/>
      <c r="D862" s="35"/>
      <c r="E862" s="17"/>
      <c r="F862" s="34"/>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34"/>
      <c r="D863" s="35"/>
      <c r="E863" s="17"/>
      <c r="F863" s="34"/>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34"/>
      <c r="D864" s="35"/>
      <c r="E864" s="17"/>
      <c r="F864" s="34"/>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34"/>
      <c r="D865" s="35"/>
      <c r="E865" s="17"/>
      <c r="F865" s="34"/>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34"/>
      <c r="D866" s="35"/>
      <c r="E866" s="17"/>
      <c r="F866" s="34"/>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34"/>
      <c r="D867" s="35"/>
      <c r="E867" s="17"/>
      <c r="F867" s="34"/>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34"/>
      <c r="D868" s="35"/>
      <c r="E868" s="17"/>
      <c r="F868" s="34"/>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34"/>
      <c r="D869" s="35"/>
      <c r="E869" s="17"/>
      <c r="F869" s="34"/>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34"/>
      <c r="D870" s="35"/>
      <c r="E870" s="17"/>
      <c r="F870" s="34"/>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34"/>
      <c r="D871" s="35"/>
      <c r="E871" s="17"/>
      <c r="F871" s="34"/>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34"/>
      <c r="D872" s="35"/>
      <c r="E872" s="17"/>
      <c r="F872" s="34"/>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34"/>
      <c r="D873" s="35"/>
      <c r="E873" s="17"/>
      <c r="F873" s="34"/>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34"/>
      <c r="D874" s="35"/>
      <c r="E874" s="17"/>
      <c r="F874" s="34"/>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34"/>
      <c r="D875" s="35"/>
      <c r="E875" s="17"/>
      <c r="F875" s="34"/>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34"/>
      <c r="D876" s="35"/>
      <c r="E876" s="17"/>
      <c r="F876" s="34"/>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34"/>
      <c r="D877" s="35"/>
      <c r="E877" s="17"/>
      <c r="F877" s="34"/>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34"/>
      <c r="D878" s="35"/>
      <c r="E878" s="17"/>
      <c r="F878" s="34"/>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34"/>
      <c r="D879" s="35"/>
      <c r="E879" s="17"/>
      <c r="F879" s="34"/>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34"/>
      <c r="D880" s="35"/>
      <c r="E880" s="17"/>
      <c r="F880" s="34"/>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34"/>
      <c r="D881" s="35"/>
      <c r="E881" s="17"/>
      <c r="F881" s="34"/>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34"/>
      <c r="D882" s="35"/>
      <c r="E882" s="17"/>
      <c r="F882" s="34"/>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34"/>
      <c r="D883" s="35"/>
      <c r="E883" s="17"/>
      <c r="F883" s="34"/>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34"/>
      <c r="D884" s="35"/>
      <c r="E884" s="17"/>
      <c r="F884" s="34"/>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34"/>
      <c r="D885" s="35"/>
      <c r="E885" s="17"/>
      <c r="F885" s="34"/>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34"/>
      <c r="D886" s="35"/>
      <c r="E886" s="17"/>
      <c r="F886" s="34"/>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34"/>
      <c r="D887" s="35"/>
      <c r="E887" s="17"/>
      <c r="F887" s="34"/>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34"/>
      <c r="D888" s="35"/>
      <c r="E888" s="17"/>
      <c r="F888" s="34"/>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34"/>
      <c r="D889" s="35"/>
      <c r="E889" s="17"/>
      <c r="F889" s="34"/>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34"/>
      <c r="D890" s="35"/>
      <c r="E890" s="17"/>
      <c r="F890" s="34"/>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34"/>
      <c r="D891" s="35"/>
      <c r="E891" s="17"/>
      <c r="F891" s="34"/>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34"/>
      <c r="D892" s="35"/>
      <c r="E892" s="17"/>
      <c r="F892" s="34"/>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34"/>
      <c r="D893" s="35"/>
      <c r="E893" s="17"/>
      <c r="F893" s="34"/>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34"/>
      <c r="D894" s="35"/>
      <c r="E894" s="17"/>
      <c r="F894" s="34"/>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34"/>
      <c r="D895" s="35"/>
      <c r="E895" s="17"/>
      <c r="F895" s="34"/>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34"/>
      <c r="D896" s="35"/>
      <c r="E896" s="17"/>
      <c r="F896" s="34"/>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34"/>
      <c r="D897" s="35"/>
      <c r="E897" s="17"/>
      <c r="F897" s="34"/>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34"/>
      <c r="D898" s="35"/>
      <c r="E898" s="17"/>
      <c r="F898" s="34"/>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34"/>
      <c r="D899" s="35"/>
      <c r="E899" s="17"/>
      <c r="F899" s="34"/>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34"/>
      <c r="D900" s="35"/>
      <c r="E900" s="17"/>
      <c r="F900" s="34"/>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34"/>
      <c r="D901" s="35"/>
      <c r="E901" s="17"/>
      <c r="F901" s="34"/>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34"/>
      <c r="D902" s="35"/>
      <c r="E902" s="17"/>
      <c r="F902" s="34"/>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34"/>
      <c r="D903" s="35"/>
      <c r="E903" s="17"/>
      <c r="F903" s="34"/>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34"/>
      <c r="D904" s="35"/>
      <c r="E904" s="17"/>
      <c r="F904" s="34"/>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34"/>
      <c r="D905" s="35"/>
      <c r="E905" s="17"/>
      <c r="F905" s="34"/>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34"/>
      <c r="D906" s="35"/>
      <c r="E906" s="17"/>
      <c r="F906" s="34"/>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34"/>
      <c r="D907" s="35"/>
      <c r="E907" s="17"/>
      <c r="F907" s="34"/>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34"/>
      <c r="D908" s="35"/>
      <c r="E908" s="17"/>
      <c r="F908" s="34"/>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34"/>
      <c r="D909" s="35"/>
      <c r="E909" s="17"/>
      <c r="F909" s="34"/>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34"/>
      <c r="D910" s="35"/>
      <c r="E910" s="17"/>
      <c r="F910" s="34"/>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34"/>
      <c r="D911" s="35"/>
      <c r="E911" s="17"/>
      <c r="F911" s="34"/>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34"/>
      <c r="D912" s="35"/>
      <c r="E912" s="17"/>
      <c r="F912" s="34"/>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34"/>
      <c r="D913" s="35"/>
      <c r="E913" s="17"/>
      <c r="F913" s="34"/>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34"/>
      <c r="D914" s="35"/>
      <c r="E914" s="17"/>
      <c r="F914" s="34"/>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34"/>
      <c r="D915" s="35"/>
      <c r="E915" s="17"/>
      <c r="F915" s="34"/>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34"/>
      <c r="D916" s="35"/>
      <c r="E916" s="17"/>
      <c r="F916" s="34"/>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34"/>
      <c r="D917" s="35"/>
      <c r="E917" s="17"/>
      <c r="F917" s="34"/>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34"/>
      <c r="D918" s="35"/>
      <c r="E918" s="17"/>
      <c r="F918" s="34"/>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34"/>
      <c r="D919" s="35"/>
      <c r="E919" s="17"/>
      <c r="F919" s="34"/>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34"/>
      <c r="D920" s="35"/>
      <c r="E920" s="17"/>
      <c r="F920" s="34"/>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34"/>
      <c r="D921" s="35"/>
      <c r="E921" s="17"/>
      <c r="F921" s="34"/>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34"/>
      <c r="D922" s="35"/>
      <c r="E922" s="17"/>
      <c r="F922" s="34"/>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34"/>
      <c r="D923" s="35"/>
      <c r="E923" s="17"/>
      <c r="F923" s="34"/>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34"/>
      <c r="D924" s="35"/>
      <c r="E924" s="17"/>
      <c r="F924" s="34"/>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34"/>
      <c r="D925" s="35"/>
      <c r="E925" s="17"/>
      <c r="F925" s="34"/>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34"/>
      <c r="D926" s="35"/>
      <c r="E926" s="17"/>
      <c r="F926" s="34"/>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34"/>
      <c r="D927" s="35"/>
      <c r="E927" s="17"/>
      <c r="F927" s="34"/>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34"/>
      <c r="D928" s="35"/>
      <c r="E928" s="17"/>
      <c r="F928" s="34"/>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34"/>
      <c r="D929" s="35"/>
      <c r="E929" s="17"/>
      <c r="F929" s="34"/>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34"/>
      <c r="D930" s="35"/>
      <c r="E930" s="17"/>
      <c r="F930" s="34"/>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34"/>
      <c r="D931" s="35"/>
      <c r="E931" s="17"/>
      <c r="F931" s="34"/>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34"/>
      <c r="D932" s="35"/>
      <c r="E932" s="17"/>
      <c r="F932" s="34"/>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34"/>
      <c r="D933" s="35"/>
      <c r="E933" s="17"/>
      <c r="F933" s="34"/>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34"/>
      <c r="D934" s="35"/>
      <c r="E934" s="17"/>
      <c r="F934" s="34"/>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34"/>
      <c r="D935" s="35"/>
      <c r="E935" s="17"/>
      <c r="F935" s="34"/>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34"/>
      <c r="D936" s="35"/>
      <c r="E936" s="17"/>
      <c r="F936" s="34"/>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34"/>
      <c r="D937" s="35"/>
      <c r="E937" s="17"/>
      <c r="F937" s="34"/>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34"/>
      <c r="D938" s="35"/>
      <c r="E938" s="17"/>
      <c r="F938" s="34"/>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34"/>
      <c r="D939" s="35"/>
      <c r="E939" s="17"/>
      <c r="F939" s="34"/>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34"/>
      <c r="D940" s="35"/>
      <c r="E940" s="17"/>
      <c r="F940" s="34"/>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34"/>
      <c r="D941" s="35"/>
      <c r="E941" s="17"/>
      <c r="F941" s="34"/>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34"/>
      <c r="D942" s="35"/>
      <c r="E942" s="17"/>
      <c r="F942" s="34"/>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34"/>
      <c r="D943" s="35"/>
      <c r="E943" s="17"/>
      <c r="F943" s="34"/>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34"/>
      <c r="D944" s="35"/>
      <c r="E944" s="17"/>
      <c r="F944" s="34"/>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34"/>
      <c r="D945" s="35"/>
      <c r="E945" s="17"/>
      <c r="F945" s="34"/>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34"/>
      <c r="D946" s="35"/>
      <c r="E946" s="17"/>
      <c r="F946" s="34"/>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34"/>
      <c r="D947" s="35"/>
      <c r="E947" s="17"/>
      <c r="F947" s="34"/>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34"/>
      <c r="D948" s="35"/>
      <c r="E948" s="17"/>
      <c r="F948" s="34"/>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34"/>
      <c r="D949" s="35"/>
      <c r="E949" s="17"/>
      <c r="F949" s="34"/>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34"/>
      <c r="D950" s="35"/>
      <c r="E950" s="17"/>
      <c r="F950" s="34"/>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34"/>
      <c r="D951" s="35"/>
      <c r="E951" s="17"/>
      <c r="F951" s="34"/>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34"/>
      <c r="D952" s="35"/>
      <c r="E952" s="17"/>
      <c r="F952" s="34"/>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34"/>
      <c r="D953" s="35"/>
      <c r="E953" s="17"/>
      <c r="F953" s="34"/>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34"/>
      <c r="D954" s="35"/>
      <c r="E954" s="17"/>
      <c r="F954" s="34"/>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34"/>
      <c r="D955" s="35"/>
      <c r="E955" s="17"/>
      <c r="F955" s="34"/>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34"/>
      <c r="D956" s="35"/>
      <c r="E956" s="17"/>
      <c r="F956" s="34"/>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34"/>
      <c r="D957" s="35"/>
      <c r="E957" s="17"/>
      <c r="F957" s="34"/>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34"/>
      <c r="D958" s="35"/>
      <c r="E958" s="17"/>
      <c r="F958" s="34"/>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34"/>
      <c r="D959" s="35"/>
      <c r="E959" s="17"/>
      <c r="F959" s="34"/>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34"/>
      <c r="D960" s="35"/>
      <c r="E960" s="17"/>
      <c r="F960" s="34"/>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34"/>
      <c r="D961" s="35"/>
      <c r="E961" s="17"/>
      <c r="F961" s="34"/>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34"/>
      <c r="D962" s="35"/>
      <c r="E962" s="17"/>
      <c r="F962" s="34"/>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34"/>
      <c r="D963" s="35"/>
      <c r="E963" s="17"/>
      <c r="F963" s="34"/>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34"/>
      <c r="D964" s="35"/>
      <c r="E964" s="17"/>
      <c r="F964" s="34"/>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34"/>
      <c r="D965" s="35"/>
      <c r="E965" s="17"/>
      <c r="F965" s="34"/>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34"/>
      <c r="D966" s="35"/>
      <c r="E966" s="17"/>
      <c r="F966" s="34"/>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34"/>
      <c r="D967" s="35"/>
      <c r="E967" s="17"/>
      <c r="F967" s="34"/>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34"/>
      <c r="D968" s="35"/>
      <c r="E968" s="17"/>
      <c r="F968" s="34"/>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34"/>
      <c r="D969" s="35"/>
      <c r="E969" s="17"/>
      <c r="F969" s="34"/>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34"/>
      <c r="D970" s="35"/>
      <c r="E970" s="17"/>
      <c r="F970" s="34"/>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34"/>
      <c r="D971" s="35"/>
      <c r="E971" s="17"/>
      <c r="F971" s="34"/>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34"/>
      <c r="D972" s="35"/>
      <c r="E972" s="17"/>
      <c r="F972" s="34"/>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34"/>
      <c r="D973" s="35"/>
      <c r="E973" s="17"/>
      <c r="F973" s="34"/>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34"/>
      <c r="D974" s="35"/>
      <c r="E974" s="17"/>
      <c r="F974" s="34"/>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34"/>
      <c r="D975" s="35"/>
      <c r="E975" s="17"/>
      <c r="F975" s="34"/>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34"/>
      <c r="D976" s="35"/>
      <c r="E976" s="17"/>
      <c r="F976" s="34"/>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34"/>
      <c r="D977" s="35"/>
      <c r="E977" s="17"/>
      <c r="F977" s="34"/>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34"/>
      <c r="D978" s="35"/>
      <c r="E978" s="17"/>
      <c r="F978" s="34"/>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34"/>
      <c r="D979" s="35"/>
      <c r="E979" s="17"/>
      <c r="F979" s="34"/>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34"/>
      <c r="D980" s="35"/>
      <c r="E980" s="17"/>
      <c r="F980" s="34"/>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34"/>
      <c r="D981" s="35"/>
      <c r="E981" s="17"/>
      <c r="F981" s="34"/>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34"/>
      <c r="D982" s="35"/>
      <c r="E982" s="17"/>
      <c r="F982" s="34"/>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34"/>
      <c r="D983" s="35"/>
      <c r="E983" s="17"/>
      <c r="F983" s="34"/>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34"/>
      <c r="D984" s="35"/>
      <c r="E984" s="17"/>
      <c r="F984" s="34"/>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34"/>
      <c r="D985" s="35"/>
      <c r="E985" s="17"/>
      <c r="F985" s="34"/>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34"/>
      <c r="D986" s="35"/>
      <c r="E986" s="17"/>
      <c r="F986" s="34"/>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34"/>
      <c r="D987" s="35"/>
      <c r="E987" s="17"/>
      <c r="F987" s="34"/>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34"/>
      <c r="D988" s="35"/>
      <c r="E988" s="17"/>
      <c r="F988" s="34"/>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34"/>
      <c r="D989" s="35"/>
      <c r="E989" s="17"/>
      <c r="F989" s="34"/>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34"/>
      <c r="D990" s="35"/>
      <c r="E990" s="17"/>
      <c r="F990" s="34"/>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34"/>
      <c r="D991" s="35"/>
      <c r="E991" s="17"/>
      <c r="F991" s="34"/>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34"/>
      <c r="D992" s="35"/>
      <c r="E992" s="17"/>
      <c r="F992" s="34"/>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34"/>
      <c r="D993" s="35"/>
      <c r="E993" s="17"/>
      <c r="F993" s="34"/>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34"/>
      <c r="D994" s="35"/>
      <c r="E994" s="17"/>
      <c r="F994" s="34"/>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34"/>
      <c r="D995" s="35"/>
      <c r="E995" s="17"/>
      <c r="F995" s="34"/>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34"/>
      <c r="D996" s="35"/>
      <c r="E996" s="17"/>
      <c r="F996" s="34"/>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34"/>
      <c r="D997" s="35"/>
      <c r="E997" s="17"/>
      <c r="F997" s="34"/>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34"/>
      <c r="D998" s="35"/>
      <c r="E998" s="17"/>
      <c r="F998" s="34"/>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34"/>
      <c r="D999" s="35"/>
      <c r="E999" s="17"/>
      <c r="F999" s="34"/>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34"/>
      <c r="D1000" s="35"/>
      <c r="E1000" s="17"/>
      <c r="F1000" s="34"/>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mergeCells count="1">
    <mergeCell ref="A1:H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1.5"/>
    <col customWidth="1" min="3" max="3" width="15.5"/>
    <col customWidth="1" min="4" max="4" width="50.38"/>
  </cols>
  <sheetData>
    <row r="1">
      <c r="A1" s="15">
        <v>45788.530997650465</v>
      </c>
      <c r="B1" s="1" t="s">
        <v>446</v>
      </c>
      <c r="C1" s="1" t="s">
        <v>447</v>
      </c>
      <c r="D1" s="1" t="s">
        <v>448</v>
      </c>
    </row>
    <row r="2">
      <c r="A2" s="15">
        <v>45788.53146650463</v>
      </c>
      <c r="B2" s="1" t="s">
        <v>446</v>
      </c>
      <c r="C2" s="1" t="s">
        <v>449</v>
      </c>
      <c r="D2" s="1" t="s">
        <v>450</v>
      </c>
    </row>
    <row r="3">
      <c r="A3" s="15">
        <v>45788.53200548611</v>
      </c>
      <c r="B3" s="1" t="s">
        <v>446</v>
      </c>
      <c r="C3" s="1" t="s">
        <v>447</v>
      </c>
      <c r="D3" s="1" t="s">
        <v>448</v>
      </c>
    </row>
    <row r="4">
      <c r="A4" s="15">
        <v>45788.532393263886</v>
      </c>
      <c r="B4" s="1" t="s">
        <v>446</v>
      </c>
      <c r="C4" s="1" t="s">
        <v>447</v>
      </c>
      <c r="D4" s="1" t="s">
        <v>448</v>
      </c>
    </row>
    <row r="5">
      <c r="A5" s="15">
        <v>45789.32901420139</v>
      </c>
      <c r="B5" s="1" t="s">
        <v>446</v>
      </c>
      <c r="C5" s="1" t="s">
        <v>449</v>
      </c>
      <c r="D5" s="1" t="s">
        <v>451</v>
      </c>
    </row>
    <row r="6">
      <c r="A6" s="15">
        <v>45789.32902119213</v>
      </c>
      <c r="B6" s="1" t="s">
        <v>446</v>
      </c>
      <c r="C6" s="1" t="s">
        <v>449</v>
      </c>
      <c r="D6" s="1" t="s">
        <v>452</v>
      </c>
    </row>
    <row r="7">
      <c r="A7" s="15">
        <v>45789.32902824074</v>
      </c>
      <c r="B7" s="1" t="s">
        <v>446</v>
      </c>
      <c r="C7" s="1" t="s">
        <v>449</v>
      </c>
      <c r="D7" s="1" t="s">
        <v>453</v>
      </c>
    </row>
    <row r="8">
      <c r="A8" s="15">
        <v>45789.3290361574</v>
      </c>
      <c r="B8" s="1" t="s">
        <v>446</v>
      </c>
      <c r="C8" s="1" t="s">
        <v>449</v>
      </c>
      <c r="D8" s="1" t="s">
        <v>454</v>
      </c>
    </row>
    <row r="9">
      <c r="A9" s="15">
        <v>45789.32904413194</v>
      </c>
      <c r="B9" s="1" t="s">
        <v>446</v>
      </c>
      <c r="C9" s="1" t="s">
        <v>449</v>
      </c>
      <c r="D9" s="1" t="s">
        <v>455</v>
      </c>
    </row>
    <row r="10">
      <c r="A10" s="15">
        <v>45789.32905048611</v>
      </c>
      <c r="B10" s="1" t="s">
        <v>446</v>
      </c>
      <c r="C10" s="1" t="s">
        <v>449</v>
      </c>
      <c r="D10" s="1" t="s">
        <v>456</v>
      </c>
    </row>
    <row r="11">
      <c r="A11" s="15">
        <v>45789.329056828705</v>
      </c>
      <c r="B11" s="1" t="s">
        <v>446</v>
      </c>
      <c r="C11" s="1" t="s">
        <v>449</v>
      </c>
      <c r="D11" s="1" t="s">
        <v>457</v>
      </c>
    </row>
    <row r="12">
      <c r="A12" s="15">
        <v>45789.329063391204</v>
      </c>
      <c r="B12" s="1" t="s">
        <v>446</v>
      </c>
      <c r="C12" s="1" t="s">
        <v>449</v>
      </c>
      <c r="D12" s="1" t="s">
        <v>458</v>
      </c>
    </row>
    <row r="13">
      <c r="A13" s="15">
        <v>45789.32907009259</v>
      </c>
      <c r="B13" s="1" t="s">
        <v>446</v>
      </c>
      <c r="C13" s="1" t="s">
        <v>449</v>
      </c>
      <c r="D13" s="1" t="s">
        <v>459</v>
      </c>
    </row>
    <row r="14">
      <c r="A14" s="15">
        <v>45789.3290761574</v>
      </c>
      <c r="B14" s="1" t="s">
        <v>446</v>
      </c>
      <c r="C14" s="1" t="s">
        <v>449</v>
      </c>
      <c r="D14" s="1" t="s">
        <v>460</v>
      </c>
    </row>
    <row r="15">
      <c r="A15" s="15">
        <v>45789.329083414355</v>
      </c>
      <c r="B15" s="1" t="s">
        <v>446</v>
      </c>
      <c r="C15" s="1" t="s">
        <v>449</v>
      </c>
      <c r="D15" s="1" t="s">
        <v>461</v>
      </c>
    </row>
    <row r="16">
      <c r="A16" s="15">
        <v>45789.32909284723</v>
      </c>
      <c r="B16" s="1" t="s">
        <v>446</v>
      </c>
      <c r="C16" s="1" t="s">
        <v>449</v>
      </c>
      <c r="D16" s="1" t="s">
        <v>462</v>
      </c>
    </row>
    <row r="17">
      <c r="A17" s="15">
        <v>45789.32909940972</v>
      </c>
      <c r="B17" s="1" t="s">
        <v>446</v>
      </c>
      <c r="C17" s="1" t="s">
        <v>449</v>
      </c>
      <c r="D17" s="1" t="s">
        <v>463</v>
      </c>
    </row>
    <row r="18">
      <c r="A18" s="15">
        <v>45789.32911938657</v>
      </c>
      <c r="B18" s="1" t="s">
        <v>446</v>
      </c>
      <c r="C18" s="1" t="s">
        <v>449</v>
      </c>
      <c r="D18" s="1" t="s">
        <v>464</v>
      </c>
    </row>
    <row r="19">
      <c r="A19" s="15">
        <v>45789.32912578704</v>
      </c>
      <c r="B19" s="1" t="s">
        <v>446</v>
      </c>
      <c r="C19" s="1" t="s">
        <v>449</v>
      </c>
      <c r="D19" s="1" t="s">
        <v>465</v>
      </c>
    </row>
    <row r="20">
      <c r="A20" s="15">
        <v>45789.32913204861</v>
      </c>
      <c r="B20" s="1" t="s">
        <v>446</v>
      </c>
      <c r="C20" s="1" t="s">
        <v>449</v>
      </c>
      <c r="D20" s="1" t="s">
        <v>466</v>
      </c>
    </row>
    <row r="21">
      <c r="A21" s="15">
        <v>45789.32914184028</v>
      </c>
      <c r="B21" s="1" t="s">
        <v>446</v>
      </c>
      <c r="C21" s="1" t="s">
        <v>449</v>
      </c>
      <c r="D21" s="1" t="s">
        <v>467</v>
      </c>
    </row>
    <row r="22">
      <c r="A22" s="15">
        <v>45789.32914945602</v>
      </c>
      <c r="B22" s="1" t="s">
        <v>446</v>
      </c>
      <c r="C22" s="1" t="s">
        <v>449</v>
      </c>
      <c r="D22" s="1" t="s">
        <v>468</v>
      </c>
    </row>
    <row r="23">
      <c r="A23" s="15">
        <v>45789.32915630787</v>
      </c>
      <c r="B23" s="1" t="s">
        <v>446</v>
      </c>
      <c r="C23" s="1" t="s">
        <v>449</v>
      </c>
      <c r="D23" s="1" t="s">
        <v>469</v>
      </c>
    </row>
    <row r="24">
      <c r="A24" s="15">
        <v>45789.329164421295</v>
      </c>
      <c r="B24" s="1" t="s">
        <v>446</v>
      </c>
      <c r="C24" s="1" t="s">
        <v>449</v>
      </c>
      <c r="D24" s="1" t="s">
        <v>470</v>
      </c>
    </row>
    <row r="25">
      <c r="A25" s="15">
        <v>45789.32917158565</v>
      </c>
      <c r="B25" s="1" t="s">
        <v>446</v>
      </c>
      <c r="C25" s="1" t="s">
        <v>449</v>
      </c>
      <c r="D25" s="1" t="s">
        <v>471</v>
      </c>
    </row>
    <row r="26">
      <c r="A26" s="15">
        <v>45789.32917732639</v>
      </c>
      <c r="B26" s="1" t="s">
        <v>446</v>
      </c>
      <c r="C26" s="1" t="s">
        <v>449</v>
      </c>
      <c r="D26" s="1" t="s">
        <v>472</v>
      </c>
    </row>
    <row r="27">
      <c r="A27" s="15">
        <v>45789.3291834375</v>
      </c>
      <c r="B27" s="1" t="s">
        <v>446</v>
      </c>
      <c r="C27" s="1" t="s">
        <v>449</v>
      </c>
      <c r="D27" s="1" t="s">
        <v>473</v>
      </c>
    </row>
    <row r="28">
      <c r="A28" s="15">
        <v>45789.32918966435</v>
      </c>
      <c r="B28" s="1" t="s">
        <v>446</v>
      </c>
      <c r="C28" s="1" t="s">
        <v>449</v>
      </c>
      <c r="D28" s="1" t="s">
        <v>474</v>
      </c>
    </row>
    <row r="29">
      <c r="A29" s="15">
        <v>45789.32919560185</v>
      </c>
      <c r="B29" s="1" t="s">
        <v>446</v>
      </c>
      <c r="C29" s="1" t="s">
        <v>449</v>
      </c>
      <c r="D29" s="1" t="s">
        <v>475</v>
      </c>
    </row>
    <row r="30">
      <c r="A30" s="15">
        <v>45789.32920175926</v>
      </c>
      <c r="B30" s="1" t="s">
        <v>446</v>
      </c>
      <c r="C30" s="1" t="s">
        <v>449</v>
      </c>
      <c r="D30" s="1" t="s">
        <v>476</v>
      </c>
    </row>
    <row r="31">
      <c r="A31" s="15">
        <v>45789.3292074537</v>
      </c>
      <c r="B31" s="1" t="s">
        <v>446</v>
      </c>
      <c r="C31" s="1" t="s">
        <v>449</v>
      </c>
      <c r="D31" s="1" t="s">
        <v>477</v>
      </c>
    </row>
    <row r="32">
      <c r="A32" s="15">
        <v>45789.32920972222</v>
      </c>
      <c r="B32" s="1" t="s">
        <v>446</v>
      </c>
      <c r="C32" s="1" t="s">
        <v>478</v>
      </c>
      <c r="D32" s="1" t="s">
        <v>479</v>
      </c>
    </row>
    <row r="33">
      <c r="A33" s="15">
        <v>45789.333946122686</v>
      </c>
      <c r="B33" s="1" t="s">
        <v>446</v>
      </c>
      <c r="C33" s="1" t="s">
        <v>449</v>
      </c>
      <c r="D33" s="1" t="s">
        <v>451</v>
      </c>
    </row>
    <row r="34">
      <c r="A34" s="15">
        <v>45789.333956608796</v>
      </c>
      <c r="B34" s="1" t="s">
        <v>446</v>
      </c>
      <c r="C34" s="1" t="s">
        <v>449</v>
      </c>
      <c r="D34" s="1" t="s">
        <v>452</v>
      </c>
    </row>
    <row r="35">
      <c r="A35" s="15">
        <v>45789.333964108795</v>
      </c>
      <c r="B35" s="1" t="s">
        <v>446</v>
      </c>
      <c r="C35" s="1" t="s">
        <v>449</v>
      </c>
      <c r="D35" s="1" t="s">
        <v>453</v>
      </c>
    </row>
    <row r="36">
      <c r="A36" s="15">
        <v>45789.333970277774</v>
      </c>
      <c r="B36" s="1" t="s">
        <v>446</v>
      </c>
      <c r="C36" s="1" t="s">
        <v>449</v>
      </c>
      <c r="D36" s="1" t="s">
        <v>454</v>
      </c>
    </row>
    <row r="37">
      <c r="A37" s="15">
        <v>45789.33397787037</v>
      </c>
      <c r="B37" s="1" t="s">
        <v>446</v>
      </c>
      <c r="C37" s="1" t="s">
        <v>449</v>
      </c>
      <c r="D37" s="1" t="s">
        <v>455</v>
      </c>
    </row>
    <row r="38">
      <c r="A38" s="15">
        <v>45789.333984537036</v>
      </c>
      <c r="B38" s="1" t="s">
        <v>446</v>
      </c>
      <c r="C38" s="1" t="s">
        <v>449</v>
      </c>
      <c r="D38" s="1" t="s">
        <v>456</v>
      </c>
    </row>
    <row r="39">
      <c r="A39" s="15">
        <v>45789.33399157407</v>
      </c>
      <c r="B39" s="1" t="s">
        <v>446</v>
      </c>
      <c r="C39" s="1" t="s">
        <v>449</v>
      </c>
      <c r="D39" s="1" t="s">
        <v>457</v>
      </c>
    </row>
    <row r="40">
      <c r="A40" s="15">
        <v>45789.33400241898</v>
      </c>
      <c r="B40" s="1" t="s">
        <v>446</v>
      </c>
      <c r="C40" s="1" t="s">
        <v>449</v>
      </c>
      <c r="D40" s="1" t="s">
        <v>458</v>
      </c>
    </row>
    <row r="41">
      <c r="A41" s="15">
        <v>45789.33401520833</v>
      </c>
      <c r="B41" s="1" t="s">
        <v>446</v>
      </c>
      <c r="C41" s="1" t="s">
        <v>449</v>
      </c>
      <c r="D41" s="1" t="s">
        <v>459</v>
      </c>
    </row>
    <row r="42">
      <c r="A42" s="15">
        <v>45789.33402199074</v>
      </c>
      <c r="B42" s="1" t="s">
        <v>446</v>
      </c>
      <c r="C42" s="1" t="s">
        <v>449</v>
      </c>
      <c r="D42" s="1" t="s">
        <v>460</v>
      </c>
    </row>
    <row r="43">
      <c r="A43" s="15">
        <v>45789.33402869213</v>
      </c>
      <c r="B43" s="1" t="s">
        <v>446</v>
      </c>
      <c r="C43" s="1" t="s">
        <v>449</v>
      </c>
      <c r="D43" s="1" t="s">
        <v>461</v>
      </c>
    </row>
    <row r="44">
      <c r="A44" s="15">
        <v>45789.33403549768</v>
      </c>
      <c r="B44" s="1" t="s">
        <v>446</v>
      </c>
      <c r="C44" s="1" t="s">
        <v>449</v>
      </c>
      <c r="D44" s="1" t="s">
        <v>462</v>
      </c>
    </row>
    <row r="45">
      <c r="A45" s="15">
        <v>45789.33404501158</v>
      </c>
      <c r="B45" s="1" t="s">
        <v>446</v>
      </c>
      <c r="C45" s="1" t="s">
        <v>449</v>
      </c>
      <c r="D45" s="1" t="s">
        <v>463</v>
      </c>
    </row>
    <row r="46">
      <c r="A46" s="15">
        <v>45789.334050868056</v>
      </c>
      <c r="B46" s="1" t="s">
        <v>446</v>
      </c>
      <c r="C46" s="1" t="s">
        <v>449</v>
      </c>
      <c r="D46" s="1" t="s">
        <v>464</v>
      </c>
    </row>
    <row r="47">
      <c r="A47" s="15">
        <v>45789.33405748842</v>
      </c>
      <c r="B47" s="1" t="s">
        <v>446</v>
      </c>
      <c r="C47" s="1" t="s">
        <v>449</v>
      </c>
      <c r="D47" s="1" t="s">
        <v>465</v>
      </c>
    </row>
    <row r="48">
      <c r="A48" s="15">
        <v>45789.334063483795</v>
      </c>
      <c r="B48" s="1" t="s">
        <v>446</v>
      </c>
      <c r="C48" s="1" t="s">
        <v>449</v>
      </c>
      <c r="D48" s="1" t="s">
        <v>466</v>
      </c>
    </row>
    <row r="49">
      <c r="A49" s="15">
        <v>45789.334070173616</v>
      </c>
      <c r="B49" s="1" t="s">
        <v>446</v>
      </c>
      <c r="C49" s="1" t="s">
        <v>449</v>
      </c>
      <c r="D49" s="1" t="s">
        <v>467</v>
      </c>
    </row>
    <row r="50">
      <c r="A50" s="15">
        <v>45789.33407795139</v>
      </c>
      <c r="B50" s="1" t="s">
        <v>446</v>
      </c>
      <c r="C50" s="1" t="s">
        <v>449</v>
      </c>
      <c r="D50" s="1" t="s">
        <v>468</v>
      </c>
    </row>
    <row r="51">
      <c r="A51" s="15">
        <v>45789.334083877315</v>
      </c>
      <c r="B51" s="1" t="s">
        <v>446</v>
      </c>
      <c r="C51" s="1" t="s">
        <v>449</v>
      </c>
      <c r="D51" s="1" t="s">
        <v>469</v>
      </c>
    </row>
    <row r="52">
      <c r="A52" s="15">
        <v>45789.33409172454</v>
      </c>
      <c r="B52" s="1" t="s">
        <v>446</v>
      </c>
      <c r="C52" s="1" t="s">
        <v>449</v>
      </c>
      <c r="D52" s="1" t="s">
        <v>470</v>
      </c>
    </row>
    <row r="53">
      <c r="A53" s="15">
        <v>45789.33410184028</v>
      </c>
      <c r="B53" s="1" t="s">
        <v>446</v>
      </c>
      <c r="C53" s="1" t="s">
        <v>449</v>
      </c>
      <c r="D53" s="1" t="s">
        <v>471</v>
      </c>
    </row>
    <row r="54">
      <c r="A54" s="15">
        <v>45789.33410854166</v>
      </c>
      <c r="B54" s="1" t="s">
        <v>446</v>
      </c>
      <c r="C54" s="1" t="s">
        <v>449</v>
      </c>
      <c r="D54" s="1" t="s">
        <v>472</v>
      </c>
    </row>
    <row r="55">
      <c r="A55" s="15">
        <v>45789.334115439815</v>
      </c>
      <c r="B55" s="1" t="s">
        <v>446</v>
      </c>
      <c r="C55" s="1" t="s">
        <v>449</v>
      </c>
      <c r="D55" s="1" t="s">
        <v>473</v>
      </c>
    </row>
    <row r="56">
      <c r="A56" s="15">
        <v>45789.33412219907</v>
      </c>
      <c r="B56" s="1" t="s">
        <v>446</v>
      </c>
      <c r="C56" s="1" t="s">
        <v>449</v>
      </c>
      <c r="D56" s="1" t="s">
        <v>474</v>
      </c>
    </row>
    <row r="57">
      <c r="A57" s="15">
        <v>45789.33412989583</v>
      </c>
      <c r="B57" s="1" t="s">
        <v>446</v>
      </c>
      <c r="C57" s="1" t="s">
        <v>449</v>
      </c>
      <c r="D57" s="1" t="s">
        <v>475</v>
      </c>
    </row>
    <row r="58">
      <c r="A58" s="15">
        <v>45789.334136377314</v>
      </c>
      <c r="B58" s="1" t="s">
        <v>446</v>
      </c>
      <c r="C58" s="1" t="s">
        <v>449</v>
      </c>
      <c r="D58" s="1" t="s">
        <v>476</v>
      </c>
    </row>
    <row r="59">
      <c r="A59" s="15">
        <v>45789.334143761575</v>
      </c>
      <c r="B59" s="1" t="s">
        <v>446</v>
      </c>
      <c r="C59" s="1" t="s">
        <v>449</v>
      </c>
      <c r="D59" s="1" t="s">
        <v>477</v>
      </c>
    </row>
    <row r="60">
      <c r="A60" s="15">
        <v>45789.334146134264</v>
      </c>
      <c r="B60" s="1" t="s">
        <v>446</v>
      </c>
      <c r="C60" s="1" t="s">
        <v>478</v>
      </c>
      <c r="D60" s="1" t="s">
        <v>480</v>
      </c>
    </row>
    <row r="61">
      <c r="A61" s="15">
        <v>45789.34540074074</v>
      </c>
      <c r="B61" s="1" t="s">
        <v>446</v>
      </c>
    </row>
    <row r="62">
      <c r="A62" s="15">
        <v>45789.34660672453</v>
      </c>
      <c r="B62" s="1" t="s">
        <v>446</v>
      </c>
      <c r="C62" s="1" t="s">
        <v>447</v>
      </c>
      <c r="D62" s="1" t="s">
        <v>448</v>
      </c>
    </row>
    <row r="63">
      <c r="A63" s="15">
        <v>45789.35478878472</v>
      </c>
      <c r="B63" s="1" t="s">
        <v>446</v>
      </c>
      <c r="C63" s="1" t="s">
        <v>447</v>
      </c>
      <c r="D63" s="1" t="s">
        <v>448</v>
      </c>
    </row>
    <row r="64">
      <c r="A64" s="15">
        <v>45789.35522045138</v>
      </c>
      <c r="B64" s="1" t="s">
        <v>446</v>
      </c>
      <c r="C64" s="1" t="s">
        <v>447</v>
      </c>
      <c r="D64" s="1" t="s">
        <v>448</v>
      </c>
    </row>
    <row r="65">
      <c r="A65" s="15">
        <v>45789.356076400465</v>
      </c>
      <c r="B65" s="1" t="s">
        <v>446</v>
      </c>
      <c r="C65" s="1" t="s">
        <v>447</v>
      </c>
      <c r="D65" s="1" t="s">
        <v>448</v>
      </c>
    </row>
    <row r="66">
      <c r="A66" s="15">
        <v>45789.35937510416</v>
      </c>
      <c r="B66" s="1" t="s">
        <v>446</v>
      </c>
      <c r="C66" s="1" t="s">
        <v>447</v>
      </c>
      <c r="D66" s="1" t="s">
        <v>448</v>
      </c>
    </row>
    <row r="67">
      <c r="A67" s="15">
        <v>45789.35946403936</v>
      </c>
      <c r="B67" s="1" t="s">
        <v>446</v>
      </c>
      <c r="C67" s="1" t="s">
        <v>481</v>
      </c>
      <c r="D67" s="1" t="s">
        <v>482</v>
      </c>
    </row>
    <row r="68">
      <c r="A68" s="15">
        <v>45789.35973476851</v>
      </c>
      <c r="B68" s="1" t="s">
        <v>446</v>
      </c>
      <c r="C68" s="1" t="s">
        <v>481</v>
      </c>
      <c r="D68" s="1" t="s">
        <v>483</v>
      </c>
    </row>
    <row r="69">
      <c r="A69" s="15">
        <v>45789.647950115745</v>
      </c>
      <c r="B69" s="1" t="s">
        <v>446</v>
      </c>
      <c r="C69" s="1" t="s">
        <v>447</v>
      </c>
      <c r="D69" s="1" t="s">
        <v>448</v>
      </c>
    </row>
    <row r="70">
      <c r="A70" s="15">
        <v>45790.704102337964</v>
      </c>
      <c r="B70" s="1" t="s">
        <v>446</v>
      </c>
      <c r="C70" s="1" t="s">
        <v>447</v>
      </c>
      <c r="D70" s="1" t="s">
        <v>448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38"/>
  </cols>
  <sheetData>
    <row r="1">
      <c r="A1" s="1" t="s">
        <v>484</v>
      </c>
      <c r="B1" s="1" t="s">
        <v>485</v>
      </c>
      <c r="C1" s="1" t="s">
        <v>486</v>
      </c>
      <c r="D1" s="1" t="s">
        <v>487</v>
      </c>
      <c r="E1" s="1" t="s">
        <v>488</v>
      </c>
      <c r="F1" s="1" t="s">
        <v>489</v>
      </c>
      <c r="G1" s="1" t="s">
        <v>490</v>
      </c>
      <c r="H1" s="1" t="s">
        <v>491</v>
      </c>
      <c r="I1" s="1" t="s">
        <v>492</v>
      </c>
      <c r="J1" s="1" t="s">
        <v>493</v>
      </c>
      <c r="K1" s="1" t="s">
        <v>494</v>
      </c>
      <c r="L1" s="1" t="s">
        <v>495</v>
      </c>
    </row>
    <row r="2">
      <c r="A2" s="1">
        <v>1.0</v>
      </c>
      <c r="B2" s="1">
        <v>8.30600001E8</v>
      </c>
      <c r="C2" s="1" t="s">
        <v>496</v>
      </c>
      <c r="D2" s="1" t="s">
        <v>497</v>
      </c>
      <c r="E2" s="1" t="s">
        <v>498</v>
      </c>
      <c r="F2" s="36">
        <v>45565.0</v>
      </c>
      <c r="G2" s="1">
        <v>1.0</v>
      </c>
      <c r="H2" s="8" t="str">
        <f t="shared" ref="H2:H287" si="1">LEFT(D2,4)</f>
        <v>2000</v>
      </c>
      <c r="I2" s="8" t="str">
        <f t="shared" ref="I2:I287" si="2">MID(D2,5,2)</f>
        <v>04</v>
      </c>
      <c r="J2" s="8" t="str">
        <f t="shared" ref="J2:J287" si="3">MID(D2,7,2)</f>
        <v>10</v>
      </c>
      <c r="K2" s="37">
        <f t="shared" ref="K2:K287" si="4">DATE(H2, I2, J2)</f>
        <v>36626</v>
      </c>
      <c r="L2" s="37">
        <f t="shared" ref="L2:L287" si="5">DATE(2025, MONTH(K2), DAY(K2))</f>
        <v>45757</v>
      </c>
    </row>
    <row r="3">
      <c r="A3" s="1">
        <v>2.0</v>
      </c>
      <c r="B3" s="1">
        <v>8.30300007E8</v>
      </c>
      <c r="C3" s="1" t="s">
        <v>499</v>
      </c>
      <c r="D3" s="1" t="s">
        <v>500</v>
      </c>
      <c r="E3" s="1" t="s">
        <v>498</v>
      </c>
      <c r="F3" s="36">
        <v>45565.0</v>
      </c>
      <c r="G3" s="1">
        <v>1.0</v>
      </c>
      <c r="H3" s="8" t="str">
        <f t="shared" si="1"/>
        <v>2000</v>
      </c>
      <c r="I3" s="8" t="str">
        <f t="shared" si="2"/>
        <v>07</v>
      </c>
      <c r="J3" s="8" t="str">
        <f t="shared" si="3"/>
        <v>13</v>
      </c>
      <c r="K3" s="37">
        <f t="shared" si="4"/>
        <v>36720</v>
      </c>
      <c r="L3" s="37">
        <f t="shared" si="5"/>
        <v>45851</v>
      </c>
    </row>
    <row r="4">
      <c r="A4" s="1">
        <v>3.0</v>
      </c>
      <c r="B4" s="1">
        <v>8.30300001E8</v>
      </c>
      <c r="C4" s="1" t="s">
        <v>501</v>
      </c>
      <c r="D4" s="1" t="s">
        <v>502</v>
      </c>
      <c r="E4" s="1" t="s">
        <v>498</v>
      </c>
      <c r="F4" s="36">
        <v>45565.0</v>
      </c>
      <c r="G4" s="1">
        <v>1.0</v>
      </c>
      <c r="H4" s="8" t="str">
        <f t="shared" si="1"/>
        <v>2000</v>
      </c>
      <c r="I4" s="8" t="str">
        <f t="shared" si="2"/>
        <v>02</v>
      </c>
      <c r="J4" s="8" t="str">
        <f t="shared" si="3"/>
        <v>25</v>
      </c>
      <c r="K4" s="37">
        <f t="shared" si="4"/>
        <v>36581</v>
      </c>
      <c r="L4" s="37">
        <f t="shared" si="5"/>
        <v>45713</v>
      </c>
    </row>
    <row r="5">
      <c r="A5" s="1">
        <v>4.0</v>
      </c>
      <c r="B5" s="1">
        <v>8.30100037E8</v>
      </c>
      <c r="C5" s="1" t="s">
        <v>503</v>
      </c>
      <c r="D5" s="1" t="s">
        <v>504</v>
      </c>
      <c r="E5" s="1" t="s">
        <v>498</v>
      </c>
      <c r="F5" s="36">
        <v>45565.0</v>
      </c>
      <c r="G5" s="1">
        <v>1.0</v>
      </c>
      <c r="H5" s="8" t="str">
        <f t="shared" si="1"/>
        <v>2000</v>
      </c>
      <c r="I5" s="8" t="str">
        <f t="shared" si="2"/>
        <v>04</v>
      </c>
      <c r="J5" s="8" t="str">
        <f t="shared" si="3"/>
        <v>20</v>
      </c>
      <c r="K5" s="37">
        <f t="shared" si="4"/>
        <v>36636</v>
      </c>
      <c r="L5" s="37">
        <f t="shared" si="5"/>
        <v>45767</v>
      </c>
    </row>
    <row r="6">
      <c r="A6" s="1">
        <v>5.0</v>
      </c>
      <c r="B6" s="1">
        <v>8.30700002E8</v>
      </c>
      <c r="C6" s="1" t="s">
        <v>505</v>
      </c>
      <c r="D6" s="1" t="s">
        <v>506</v>
      </c>
      <c r="E6" s="1" t="s">
        <v>498</v>
      </c>
      <c r="F6" s="36">
        <v>45565.0</v>
      </c>
      <c r="G6" s="1">
        <v>1.0</v>
      </c>
      <c r="H6" s="8" t="str">
        <f t="shared" si="1"/>
        <v>2000</v>
      </c>
      <c r="I6" s="8" t="str">
        <f t="shared" si="2"/>
        <v>05</v>
      </c>
      <c r="J6" s="8" t="str">
        <f t="shared" si="3"/>
        <v>29</v>
      </c>
      <c r="K6" s="37">
        <f t="shared" si="4"/>
        <v>36675</v>
      </c>
      <c r="L6" s="37">
        <f t="shared" si="5"/>
        <v>45806</v>
      </c>
    </row>
    <row r="7">
      <c r="A7" s="1">
        <v>6.0</v>
      </c>
      <c r="B7" s="1">
        <v>8.3010005E8</v>
      </c>
      <c r="C7" s="1" t="s">
        <v>507</v>
      </c>
      <c r="D7" s="1" t="s">
        <v>508</v>
      </c>
      <c r="E7" s="1" t="s">
        <v>498</v>
      </c>
      <c r="F7" s="36">
        <v>45565.0</v>
      </c>
      <c r="G7" s="1">
        <v>1.0</v>
      </c>
      <c r="H7" s="8" t="str">
        <f t="shared" si="1"/>
        <v>2000</v>
      </c>
      <c r="I7" s="8" t="str">
        <f t="shared" si="2"/>
        <v>02</v>
      </c>
      <c r="J7" s="8" t="str">
        <f t="shared" si="3"/>
        <v>07</v>
      </c>
      <c r="K7" s="37">
        <f t="shared" si="4"/>
        <v>36563</v>
      </c>
      <c r="L7" s="37">
        <f t="shared" si="5"/>
        <v>45695</v>
      </c>
    </row>
    <row r="8">
      <c r="A8" s="1">
        <v>7.0</v>
      </c>
      <c r="B8" s="1">
        <v>8.30100013E8</v>
      </c>
      <c r="C8" s="1" t="s">
        <v>509</v>
      </c>
      <c r="D8" s="1" t="s">
        <v>510</v>
      </c>
      <c r="E8" s="1" t="s">
        <v>498</v>
      </c>
      <c r="F8" s="36">
        <v>45565.0</v>
      </c>
      <c r="G8" s="1">
        <v>1.0</v>
      </c>
      <c r="H8" s="8" t="str">
        <f t="shared" si="1"/>
        <v>1999</v>
      </c>
      <c r="I8" s="8" t="str">
        <f t="shared" si="2"/>
        <v>11</v>
      </c>
      <c r="J8" s="8" t="str">
        <f t="shared" si="3"/>
        <v>29</v>
      </c>
      <c r="K8" s="37">
        <f t="shared" si="4"/>
        <v>36493</v>
      </c>
      <c r="L8" s="37">
        <f t="shared" si="5"/>
        <v>45990</v>
      </c>
    </row>
    <row r="9">
      <c r="A9" s="1">
        <v>8.0</v>
      </c>
      <c r="B9" s="1">
        <v>8.30300004E8</v>
      </c>
      <c r="C9" s="1" t="s">
        <v>511</v>
      </c>
      <c r="D9" s="1" t="s">
        <v>512</v>
      </c>
      <c r="E9" s="1" t="s">
        <v>513</v>
      </c>
      <c r="F9" s="36">
        <v>45565.0</v>
      </c>
      <c r="G9" s="1">
        <v>1.0</v>
      </c>
      <c r="H9" s="8" t="str">
        <f t="shared" si="1"/>
        <v>2000</v>
      </c>
      <c r="I9" s="8" t="str">
        <f t="shared" si="2"/>
        <v>03</v>
      </c>
      <c r="J9" s="8" t="str">
        <f t="shared" si="3"/>
        <v>23</v>
      </c>
      <c r="K9" s="37">
        <f t="shared" si="4"/>
        <v>36608</v>
      </c>
      <c r="L9" s="37">
        <f t="shared" si="5"/>
        <v>45739</v>
      </c>
    </row>
    <row r="10">
      <c r="A10" s="1">
        <v>9.0</v>
      </c>
      <c r="B10" s="1">
        <v>8.30300009E8</v>
      </c>
      <c r="C10" s="1" t="s">
        <v>514</v>
      </c>
      <c r="D10" s="1" t="s">
        <v>515</v>
      </c>
      <c r="E10" s="1" t="s">
        <v>498</v>
      </c>
      <c r="F10" s="36">
        <v>45565.0</v>
      </c>
      <c r="G10" s="1">
        <v>1.0</v>
      </c>
      <c r="H10" s="8" t="str">
        <f t="shared" si="1"/>
        <v>2000</v>
      </c>
      <c r="I10" s="8" t="str">
        <f t="shared" si="2"/>
        <v>05</v>
      </c>
      <c r="J10" s="8" t="str">
        <f t="shared" si="3"/>
        <v>21</v>
      </c>
      <c r="K10" s="37">
        <f t="shared" si="4"/>
        <v>36667</v>
      </c>
      <c r="L10" s="37">
        <f t="shared" si="5"/>
        <v>45798</v>
      </c>
    </row>
    <row r="11">
      <c r="A11" s="1">
        <v>10.0</v>
      </c>
      <c r="B11" s="1">
        <v>1.31100001E8</v>
      </c>
      <c r="C11" s="1" t="s">
        <v>516</v>
      </c>
      <c r="D11" s="1" t="s">
        <v>517</v>
      </c>
      <c r="E11" s="1" t="s">
        <v>513</v>
      </c>
      <c r="F11" s="36">
        <v>45565.0</v>
      </c>
      <c r="G11" s="1">
        <v>1.0</v>
      </c>
      <c r="H11" s="8" t="str">
        <f t="shared" si="1"/>
        <v>2000</v>
      </c>
      <c r="I11" s="8" t="str">
        <f t="shared" si="2"/>
        <v>04</v>
      </c>
      <c r="J11" s="8" t="str">
        <f t="shared" si="3"/>
        <v>27</v>
      </c>
      <c r="K11" s="37">
        <f t="shared" si="4"/>
        <v>36643</v>
      </c>
      <c r="L11" s="37">
        <f t="shared" si="5"/>
        <v>45774</v>
      </c>
    </row>
    <row r="12">
      <c r="A12" s="1">
        <v>11.0</v>
      </c>
      <c r="B12" s="1">
        <v>8.30100019E8</v>
      </c>
      <c r="C12" s="1" t="s">
        <v>518</v>
      </c>
      <c r="D12" s="1" t="s">
        <v>519</v>
      </c>
      <c r="E12" s="1" t="s">
        <v>498</v>
      </c>
      <c r="F12" s="36">
        <v>45565.0</v>
      </c>
      <c r="G12" s="1">
        <v>1.0</v>
      </c>
      <c r="H12" s="8" t="str">
        <f t="shared" si="1"/>
        <v>2000</v>
      </c>
      <c r="I12" s="8" t="str">
        <f t="shared" si="2"/>
        <v>09</v>
      </c>
      <c r="J12" s="8" t="str">
        <f t="shared" si="3"/>
        <v>26</v>
      </c>
      <c r="K12" s="37">
        <f t="shared" si="4"/>
        <v>36795</v>
      </c>
      <c r="L12" s="37">
        <f t="shared" si="5"/>
        <v>45926</v>
      </c>
    </row>
    <row r="13">
      <c r="A13" s="1">
        <v>12.0</v>
      </c>
      <c r="B13" s="1">
        <v>8.30500003E8</v>
      </c>
      <c r="C13" s="1" t="s">
        <v>520</v>
      </c>
      <c r="D13" s="1" t="s">
        <v>521</v>
      </c>
      <c r="E13" s="1" t="s">
        <v>522</v>
      </c>
      <c r="F13" s="36">
        <v>45565.0</v>
      </c>
      <c r="G13" s="1">
        <v>1.0</v>
      </c>
      <c r="H13" s="8" t="str">
        <f t="shared" si="1"/>
        <v>2001</v>
      </c>
      <c r="I13" s="8" t="str">
        <f t="shared" si="2"/>
        <v>06</v>
      </c>
      <c r="J13" s="8" t="str">
        <f t="shared" si="3"/>
        <v>17</v>
      </c>
      <c r="K13" s="37">
        <f t="shared" si="4"/>
        <v>37059</v>
      </c>
      <c r="L13" s="37">
        <f t="shared" si="5"/>
        <v>45825</v>
      </c>
    </row>
    <row r="14">
      <c r="A14" s="1">
        <v>13.0</v>
      </c>
      <c r="B14" s="1">
        <v>8.30100041E8</v>
      </c>
      <c r="C14" s="1" t="s">
        <v>523</v>
      </c>
      <c r="D14" s="1" t="s">
        <v>524</v>
      </c>
      <c r="E14" s="1" t="s">
        <v>498</v>
      </c>
      <c r="F14" s="36">
        <v>45565.0</v>
      </c>
      <c r="G14" s="1">
        <v>1.0</v>
      </c>
      <c r="H14" s="8" t="str">
        <f t="shared" si="1"/>
        <v>1999</v>
      </c>
      <c r="I14" s="8" t="str">
        <f t="shared" si="2"/>
        <v>12</v>
      </c>
      <c r="J14" s="8" t="str">
        <f t="shared" si="3"/>
        <v>07</v>
      </c>
      <c r="K14" s="37">
        <f t="shared" si="4"/>
        <v>36501</v>
      </c>
      <c r="L14" s="37">
        <f t="shared" si="5"/>
        <v>45998</v>
      </c>
    </row>
    <row r="15">
      <c r="A15" s="1">
        <v>14.0</v>
      </c>
      <c r="B15" s="1">
        <v>8.30100005E8</v>
      </c>
      <c r="C15" s="1" t="s">
        <v>525</v>
      </c>
      <c r="D15" s="1" t="s">
        <v>526</v>
      </c>
      <c r="E15" s="1" t="s">
        <v>513</v>
      </c>
      <c r="F15" s="36">
        <v>45565.0</v>
      </c>
      <c r="G15" s="1">
        <v>1.0</v>
      </c>
      <c r="H15" s="8" t="str">
        <f t="shared" si="1"/>
        <v>2000</v>
      </c>
      <c r="I15" s="8" t="str">
        <f t="shared" si="2"/>
        <v>10</v>
      </c>
      <c r="J15" s="8" t="str">
        <f t="shared" si="3"/>
        <v>20</v>
      </c>
      <c r="K15" s="37">
        <f t="shared" si="4"/>
        <v>36819</v>
      </c>
      <c r="L15" s="37">
        <f t="shared" si="5"/>
        <v>45950</v>
      </c>
    </row>
    <row r="16">
      <c r="A16" s="1">
        <v>15.0</v>
      </c>
      <c r="B16" s="1">
        <v>8.30100014E8</v>
      </c>
      <c r="C16" s="1" t="s">
        <v>527</v>
      </c>
      <c r="D16" s="1" t="s">
        <v>528</v>
      </c>
      <c r="E16" s="1" t="s">
        <v>498</v>
      </c>
      <c r="F16" s="36">
        <v>45565.0</v>
      </c>
      <c r="G16" s="1">
        <v>1.0</v>
      </c>
      <c r="H16" s="8" t="str">
        <f t="shared" si="1"/>
        <v>1999</v>
      </c>
      <c r="I16" s="8" t="str">
        <f t="shared" si="2"/>
        <v>11</v>
      </c>
      <c r="J16" s="8" t="str">
        <f t="shared" si="3"/>
        <v>15</v>
      </c>
      <c r="K16" s="37">
        <f t="shared" si="4"/>
        <v>36479</v>
      </c>
      <c r="L16" s="37">
        <f t="shared" si="5"/>
        <v>45976</v>
      </c>
    </row>
    <row r="17">
      <c r="A17" s="1">
        <v>16.0</v>
      </c>
      <c r="B17" s="1">
        <v>8.30400005E8</v>
      </c>
      <c r="C17" s="1" t="s">
        <v>529</v>
      </c>
      <c r="D17" s="1" t="s">
        <v>530</v>
      </c>
      <c r="E17" s="1" t="s">
        <v>513</v>
      </c>
      <c r="F17" s="36">
        <v>45565.0</v>
      </c>
      <c r="G17" s="1">
        <v>1.0</v>
      </c>
      <c r="H17" s="8" t="str">
        <f t="shared" si="1"/>
        <v>2001</v>
      </c>
      <c r="I17" s="8" t="str">
        <f t="shared" si="2"/>
        <v>01</v>
      </c>
      <c r="J17" s="8" t="str">
        <f t="shared" si="3"/>
        <v>19</v>
      </c>
      <c r="K17" s="37">
        <f t="shared" si="4"/>
        <v>36910</v>
      </c>
      <c r="L17" s="37">
        <f t="shared" si="5"/>
        <v>45676</v>
      </c>
    </row>
    <row r="18">
      <c r="A18" s="1">
        <v>17.0</v>
      </c>
      <c r="B18" s="1">
        <v>8.30100007E8</v>
      </c>
      <c r="C18" s="1" t="s">
        <v>531</v>
      </c>
      <c r="D18" s="1" t="s">
        <v>532</v>
      </c>
      <c r="E18" s="1" t="s">
        <v>498</v>
      </c>
      <c r="F18" s="36">
        <v>45565.0</v>
      </c>
      <c r="G18" s="1">
        <v>1.0</v>
      </c>
      <c r="H18" s="8" t="str">
        <f t="shared" si="1"/>
        <v>2000</v>
      </c>
      <c r="I18" s="8" t="str">
        <f t="shared" si="2"/>
        <v>04</v>
      </c>
      <c r="J18" s="8" t="str">
        <f t="shared" si="3"/>
        <v>21</v>
      </c>
      <c r="K18" s="37">
        <f t="shared" si="4"/>
        <v>36637</v>
      </c>
      <c r="L18" s="37">
        <f t="shared" si="5"/>
        <v>45768</v>
      </c>
    </row>
    <row r="19">
      <c r="A19" s="1">
        <v>18.0</v>
      </c>
      <c r="B19" s="1">
        <v>8.30700003E8</v>
      </c>
      <c r="C19" s="1" t="s">
        <v>533</v>
      </c>
      <c r="D19" s="1" t="s">
        <v>534</v>
      </c>
      <c r="E19" s="1" t="s">
        <v>498</v>
      </c>
      <c r="F19" s="36">
        <v>45565.0</v>
      </c>
      <c r="G19" s="1">
        <v>1.0</v>
      </c>
      <c r="H19" s="8" t="str">
        <f t="shared" si="1"/>
        <v>2000</v>
      </c>
      <c r="I19" s="8" t="str">
        <f t="shared" si="2"/>
        <v>01</v>
      </c>
      <c r="J19" s="8" t="str">
        <f t="shared" si="3"/>
        <v>18</v>
      </c>
      <c r="K19" s="37">
        <f t="shared" si="4"/>
        <v>36543</v>
      </c>
      <c r="L19" s="37">
        <f t="shared" si="5"/>
        <v>45675</v>
      </c>
    </row>
    <row r="20">
      <c r="A20" s="1">
        <v>19.0</v>
      </c>
      <c r="B20" s="1">
        <v>1.30200001E8</v>
      </c>
      <c r="C20" s="1" t="s">
        <v>535</v>
      </c>
      <c r="D20" s="1" t="s">
        <v>536</v>
      </c>
      <c r="E20" s="1" t="s">
        <v>498</v>
      </c>
      <c r="F20" s="36">
        <v>45565.0</v>
      </c>
      <c r="G20" s="1">
        <v>1.0</v>
      </c>
      <c r="H20" s="8" t="str">
        <f t="shared" si="1"/>
        <v>2000</v>
      </c>
      <c r="I20" s="8" t="str">
        <f t="shared" si="2"/>
        <v>08</v>
      </c>
      <c r="J20" s="8" t="str">
        <f t="shared" si="3"/>
        <v>06</v>
      </c>
      <c r="K20" s="37">
        <f t="shared" si="4"/>
        <v>36744</v>
      </c>
      <c r="L20" s="37">
        <f t="shared" si="5"/>
        <v>45875</v>
      </c>
    </row>
    <row r="21">
      <c r="A21" s="1">
        <v>20.0</v>
      </c>
      <c r="B21" s="1">
        <v>8.30100036E8</v>
      </c>
      <c r="C21" s="1" t="s">
        <v>537</v>
      </c>
      <c r="D21" s="1" t="s">
        <v>538</v>
      </c>
      <c r="E21" s="1" t="s">
        <v>498</v>
      </c>
      <c r="F21" s="36">
        <v>45565.0</v>
      </c>
      <c r="G21" s="1">
        <v>1.0</v>
      </c>
      <c r="H21" s="8" t="str">
        <f t="shared" si="1"/>
        <v>1999</v>
      </c>
      <c r="I21" s="8" t="str">
        <f t="shared" si="2"/>
        <v>12</v>
      </c>
      <c r="J21" s="8" t="str">
        <f t="shared" si="3"/>
        <v>19</v>
      </c>
      <c r="K21" s="37">
        <f t="shared" si="4"/>
        <v>36513</v>
      </c>
      <c r="L21" s="37">
        <f t="shared" si="5"/>
        <v>46010</v>
      </c>
    </row>
    <row r="22">
      <c r="A22" s="1">
        <v>21.0</v>
      </c>
      <c r="B22" s="1">
        <v>8.30500004E8</v>
      </c>
      <c r="C22" s="1" t="s">
        <v>539</v>
      </c>
      <c r="D22" s="1" t="s">
        <v>540</v>
      </c>
      <c r="E22" s="1" t="s">
        <v>498</v>
      </c>
      <c r="F22" s="36">
        <v>45565.0</v>
      </c>
      <c r="G22" s="1">
        <v>1.0</v>
      </c>
      <c r="H22" s="8" t="str">
        <f t="shared" si="1"/>
        <v>2000</v>
      </c>
      <c r="I22" s="8" t="str">
        <f t="shared" si="2"/>
        <v>03</v>
      </c>
      <c r="J22" s="8" t="str">
        <f t="shared" si="3"/>
        <v>18</v>
      </c>
      <c r="K22" s="37">
        <f t="shared" si="4"/>
        <v>36603</v>
      </c>
      <c r="L22" s="37">
        <f t="shared" si="5"/>
        <v>45734</v>
      </c>
    </row>
    <row r="23">
      <c r="A23" s="1">
        <v>22.0</v>
      </c>
      <c r="B23" s="1">
        <v>8.30200002E8</v>
      </c>
      <c r="C23" s="1" t="s">
        <v>541</v>
      </c>
      <c r="D23" s="1" t="s">
        <v>542</v>
      </c>
      <c r="E23" s="1" t="s">
        <v>498</v>
      </c>
      <c r="F23" s="36">
        <v>45565.0</v>
      </c>
      <c r="G23" s="1">
        <v>1.0</v>
      </c>
      <c r="H23" s="8" t="str">
        <f t="shared" si="1"/>
        <v>1999</v>
      </c>
      <c r="I23" s="8" t="str">
        <f t="shared" si="2"/>
        <v>12</v>
      </c>
      <c r="J23" s="8" t="str">
        <f t="shared" si="3"/>
        <v>21</v>
      </c>
      <c r="K23" s="37">
        <f t="shared" si="4"/>
        <v>36515</v>
      </c>
      <c r="L23" s="37">
        <f t="shared" si="5"/>
        <v>46012</v>
      </c>
    </row>
    <row r="24">
      <c r="A24" s="1">
        <v>23.0</v>
      </c>
      <c r="B24" s="1">
        <v>8.30800004E8</v>
      </c>
      <c r="C24" s="1" t="s">
        <v>543</v>
      </c>
      <c r="D24" s="1" t="s">
        <v>544</v>
      </c>
      <c r="E24" s="1" t="s">
        <v>498</v>
      </c>
      <c r="F24" s="36">
        <v>45565.0</v>
      </c>
      <c r="G24" s="1">
        <v>1.0</v>
      </c>
      <c r="H24" s="8" t="str">
        <f t="shared" si="1"/>
        <v>2000</v>
      </c>
      <c r="I24" s="8" t="str">
        <f t="shared" si="2"/>
        <v>04</v>
      </c>
      <c r="J24" s="8" t="str">
        <f t="shared" si="3"/>
        <v>22</v>
      </c>
      <c r="K24" s="37">
        <f t="shared" si="4"/>
        <v>36638</v>
      </c>
      <c r="L24" s="37">
        <f t="shared" si="5"/>
        <v>45769</v>
      </c>
    </row>
    <row r="25">
      <c r="A25" s="1">
        <v>24.0</v>
      </c>
      <c r="B25" s="1">
        <v>8.30600004E8</v>
      </c>
      <c r="C25" s="1" t="s">
        <v>545</v>
      </c>
      <c r="D25" s="1" t="s">
        <v>546</v>
      </c>
      <c r="E25" s="1" t="s">
        <v>498</v>
      </c>
      <c r="F25" s="36">
        <v>45565.0</v>
      </c>
      <c r="G25" s="1">
        <v>1.0</v>
      </c>
      <c r="H25" s="8" t="str">
        <f t="shared" si="1"/>
        <v>2000</v>
      </c>
      <c r="I25" s="8" t="str">
        <f t="shared" si="2"/>
        <v>11</v>
      </c>
      <c r="J25" s="8" t="str">
        <f t="shared" si="3"/>
        <v>28</v>
      </c>
      <c r="K25" s="37">
        <f t="shared" si="4"/>
        <v>36858</v>
      </c>
      <c r="L25" s="37">
        <f t="shared" si="5"/>
        <v>45989</v>
      </c>
    </row>
    <row r="26">
      <c r="A26" s="1">
        <v>25.0</v>
      </c>
      <c r="B26" s="1">
        <v>8.30600002E8</v>
      </c>
      <c r="C26" s="1" t="s">
        <v>547</v>
      </c>
      <c r="D26" s="1" t="s">
        <v>548</v>
      </c>
      <c r="E26" s="1" t="s">
        <v>498</v>
      </c>
      <c r="F26" s="36">
        <v>45565.0</v>
      </c>
      <c r="G26" s="1">
        <v>1.0</v>
      </c>
      <c r="H26" s="8" t="str">
        <f t="shared" si="1"/>
        <v>2000</v>
      </c>
      <c r="I26" s="8" t="str">
        <f t="shared" si="2"/>
        <v>01</v>
      </c>
      <c r="J26" s="8" t="str">
        <f t="shared" si="3"/>
        <v>31</v>
      </c>
      <c r="K26" s="37">
        <f t="shared" si="4"/>
        <v>36556</v>
      </c>
      <c r="L26" s="37">
        <f t="shared" si="5"/>
        <v>45688</v>
      </c>
    </row>
    <row r="27">
      <c r="A27" s="1">
        <v>26.0</v>
      </c>
      <c r="B27" s="1">
        <v>1.30700002E8</v>
      </c>
      <c r="C27" s="1" t="s">
        <v>549</v>
      </c>
      <c r="D27" s="1" t="s">
        <v>550</v>
      </c>
      <c r="E27" s="1" t="s">
        <v>498</v>
      </c>
      <c r="F27" s="36">
        <v>45565.0</v>
      </c>
      <c r="G27" s="1">
        <v>1.0</v>
      </c>
      <c r="H27" s="8" t="str">
        <f t="shared" si="1"/>
        <v>2000</v>
      </c>
      <c r="I27" s="8" t="str">
        <f t="shared" si="2"/>
        <v>05</v>
      </c>
      <c r="J27" s="8" t="str">
        <f t="shared" si="3"/>
        <v>23</v>
      </c>
      <c r="K27" s="37">
        <f t="shared" si="4"/>
        <v>36669</v>
      </c>
      <c r="L27" s="37">
        <f t="shared" si="5"/>
        <v>45800</v>
      </c>
    </row>
    <row r="28">
      <c r="A28" s="1">
        <v>27.0</v>
      </c>
      <c r="B28" s="1">
        <v>1.31100002E8</v>
      </c>
      <c r="C28" s="1" t="s">
        <v>551</v>
      </c>
      <c r="D28" s="1" t="s">
        <v>552</v>
      </c>
      <c r="E28" s="1" t="s">
        <v>498</v>
      </c>
      <c r="F28" s="36">
        <v>45565.0</v>
      </c>
      <c r="G28" s="1">
        <v>1.0</v>
      </c>
      <c r="H28" s="8" t="str">
        <f t="shared" si="1"/>
        <v>2001</v>
      </c>
      <c r="I28" s="8" t="str">
        <f t="shared" si="2"/>
        <v>09</v>
      </c>
      <c r="J28" s="8" t="str">
        <f t="shared" si="3"/>
        <v>29</v>
      </c>
      <c r="K28" s="37">
        <f t="shared" si="4"/>
        <v>37163</v>
      </c>
      <c r="L28" s="37">
        <f t="shared" si="5"/>
        <v>45929</v>
      </c>
    </row>
    <row r="29">
      <c r="A29" s="1">
        <v>28.0</v>
      </c>
      <c r="B29" s="1">
        <v>8.31100001E8</v>
      </c>
      <c r="C29" s="1" t="s">
        <v>553</v>
      </c>
      <c r="D29" s="1" t="s">
        <v>554</v>
      </c>
      <c r="E29" s="1" t="s">
        <v>498</v>
      </c>
      <c r="F29" s="36">
        <v>45565.0</v>
      </c>
      <c r="G29" s="1">
        <v>1.0</v>
      </c>
      <c r="H29" s="8" t="str">
        <f t="shared" si="1"/>
        <v>2000</v>
      </c>
      <c r="I29" s="8" t="str">
        <f t="shared" si="2"/>
        <v>04</v>
      </c>
      <c r="J29" s="8" t="str">
        <f t="shared" si="3"/>
        <v>08</v>
      </c>
      <c r="K29" s="37">
        <f t="shared" si="4"/>
        <v>36624</v>
      </c>
      <c r="L29" s="37">
        <f t="shared" si="5"/>
        <v>45755</v>
      </c>
    </row>
    <row r="30">
      <c r="A30" s="1">
        <v>29.0</v>
      </c>
      <c r="B30" s="1">
        <v>8.31000002E8</v>
      </c>
      <c r="C30" s="1" t="s">
        <v>555</v>
      </c>
      <c r="D30" s="1" t="s">
        <v>556</v>
      </c>
      <c r="E30" s="1" t="s">
        <v>498</v>
      </c>
      <c r="F30" s="36">
        <v>45565.0</v>
      </c>
      <c r="G30" s="1">
        <v>1.0</v>
      </c>
      <c r="H30" s="8" t="str">
        <f t="shared" si="1"/>
        <v>1999</v>
      </c>
      <c r="I30" s="8" t="str">
        <f t="shared" si="2"/>
        <v>10</v>
      </c>
      <c r="J30" s="8" t="str">
        <f t="shared" si="3"/>
        <v>22</v>
      </c>
      <c r="K30" s="37">
        <f t="shared" si="4"/>
        <v>36455</v>
      </c>
      <c r="L30" s="37">
        <f t="shared" si="5"/>
        <v>45952</v>
      </c>
    </row>
    <row r="31">
      <c r="A31" s="1">
        <v>30.0</v>
      </c>
      <c r="B31" s="1">
        <v>8.30700004E8</v>
      </c>
      <c r="C31" s="1" t="s">
        <v>557</v>
      </c>
      <c r="D31" s="1" t="s">
        <v>558</v>
      </c>
      <c r="E31" s="1" t="s">
        <v>498</v>
      </c>
      <c r="F31" s="36">
        <v>45565.0</v>
      </c>
      <c r="G31" s="1">
        <v>1.0</v>
      </c>
      <c r="H31" s="8" t="str">
        <f t="shared" si="1"/>
        <v>2000</v>
      </c>
      <c r="I31" s="8" t="str">
        <f t="shared" si="2"/>
        <v>06</v>
      </c>
      <c r="J31" s="8" t="str">
        <f t="shared" si="3"/>
        <v>17</v>
      </c>
      <c r="K31" s="37">
        <f t="shared" si="4"/>
        <v>36694</v>
      </c>
      <c r="L31" s="37">
        <f t="shared" si="5"/>
        <v>45825</v>
      </c>
    </row>
    <row r="32">
      <c r="A32" s="1">
        <v>31.0</v>
      </c>
      <c r="B32" s="1">
        <v>8.30100029E8</v>
      </c>
      <c r="C32" s="1" t="s">
        <v>559</v>
      </c>
      <c r="D32" s="1" t="s">
        <v>560</v>
      </c>
      <c r="E32" s="1" t="s">
        <v>498</v>
      </c>
      <c r="F32" s="36">
        <v>45565.0</v>
      </c>
      <c r="G32" s="1">
        <v>1.0</v>
      </c>
      <c r="H32" s="8" t="str">
        <f t="shared" si="1"/>
        <v>2000</v>
      </c>
      <c r="I32" s="8" t="str">
        <f t="shared" si="2"/>
        <v>01</v>
      </c>
      <c r="J32" s="8" t="str">
        <f t="shared" si="3"/>
        <v>08</v>
      </c>
      <c r="K32" s="37">
        <f t="shared" si="4"/>
        <v>36533</v>
      </c>
      <c r="L32" s="37">
        <f t="shared" si="5"/>
        <v>45665</v>
      </c>
    </row>
    <row r="33">
      <c r="A33" s="1">
        <v>32.0</v>
      </c>
      <c r="B33" s="1">
        <v>1.31200001E8</v>
      </c>
      <c r="C33" s="1" t="s">
        <v>561</v>
      </c>
      <c r="D33" s="1" t="s">
        <v>562</v>
      </c>
      <c r="E33" s="1" t="s">
        <v>498</v>
      </c>
      <c r="F33" s="36">
        <v>45565.0</v>
      </c>
      <c r="G33" s="1">
        <v>1.0</v>
      </c>
      <c r="H33" s="8" t="str">
        <f t="shared" si="1"/>
        <v>2001</v>
      </c>
      <c r="I33" s="8" t="str">
        <f t="shared" si="2"/>
        <v>05</v>
      </c>
      <c r="J33" s="8" t="str">
        <f t="shared" si="3"/>
        <v>30</v>
      </c>
      <c r="K33" s="37">
        <f t="shared" si="4"/>
        <v>37041</v>
      </c>
      <c r="L33" s="37">
        <f t="shared" si="5"/>
        <v>45807</v>
      </c>
    </row>
    <row r="34">
      <c r="A34" s="1">
        <v>33.0</v>
      </c>
      <c r="B34" s="1">
        <v>8.30100039E8</v>
      </c>
      <c r="C34" s="1" t="s">
        <v>563</v>
      </c>
      <c r="D34" s="1" t="s">
        <v>564</v>
      </c>
      <c r="E34" s="1" t="s">
        <v>498</v>
      </c>
      <c r="F34" s="36">
        <v>45565.0</v>
      </c>
      <c r="G34" s="1">
        <v>1.0</v>
      </c>
      <c r="H34" s="8" t="str">
        <f t="shared" si="1"/>
        <v>2000</v>
      </c>
      <c r="I34" s="8" t="str">
        <f t="shared" si="2"/>
        <v>07</v>
      </c>
      <c r="J34" s="8" t="str">
        <f t="shared" si="3"/>
        <v>18</v>
      </c>
      <c r="K34" s="37">
        <f t="shared" si="4"/>
        <v>36725</v>
      </c>
      <c r="L34" s="37">
        <f t="shared" si="5"/>
        <v>45856</v>
      </c>
    </row>
    <row r="35">
      <c r="A35" s="1">
        <v>34.0</v>
      </c>
      <c r="B35" s="1">
        <v>8.30300002E8</v>
      </c>
      <c r="C35" s="1" t="s">
        <v>565</v>
      </c>
      <c r="D35" s="1" t="s">
        <v>566</v>
      </c>
      <c r="E35" s="1" t="s">
        <v>498</v>
      </c>
      <c r="F35" s="36">
        <v>45565.0</v>
      </c>
      <c r="G35" s="1">
        <v>1.0</v>
      </c>
      <c r="H35" s="8" t="str">
        <f t="shared" si="1"/>
        <v>2000</v>
      </c>
      <c r="I35" s="8" t="str">
        <f t="shared" si="2"/>
        <v>11</v>
      </c>
      <c r="J35" s="8" t="str">
        <f t="shared" si="3"/>
        <v>05</v>
      </c>
      <c r="K35" s="37">
        <f t="shared" si="4"/>
        <v>36835</v>
      </c>
      <c r="L35" s="37">
        <f t="shared" si="5"/>
        <v>45966</v>
      </c>
    </row>
    <row r="36">
      <c r="A36" s="1">
        <v>35.0</v>
      </c>
      <c r="B36" s="1">
        <v>8.30100017E8</v>
      </c>
      <c r="C36" s="1" t="s">
        <v>567</v>
      </c>
      <c r="D36" s="1" t="s">
        <v>568</v>
      </c>
      <c r="E36" s="1" t="s">
        <v>498</v>
      </c>
      <c r="F36" s="36">
        <v>45565.0</v>
      </c>
      <c r="G36" s="1">
        <v>1.0</v>
      </c>
      <c r="H36" s="8" t="str">
        <f t="shared" si="1"/>
        <v>2000</v>
      </c>
      <c r="I36" s="8" t="str">
        <f t="shared" si="2"/>
        <v>02</v>
      </c>
      <c r="J36" s="8" t="str">
        <f t="shared" si="3"/>
        <v>01</v>
      </c>
      <c r="K36" s="37">
        <f t="shared" si="4"/>
        <v>36557</v>
      </c>
      <c r="L36" s="37">
        <f t="shared" si="5"/>
        <v>45689</v>
      </c>
    </row>
    <row r="37">
      <c r="A37" s="1">
        <v>36.0</v>
      </c>
      <c r="B37" s="1">
        <v>1.31600002E8</v>
      </c>
      <c r="C37" s="1" t="s">
        <v>569</v>
      </c>
      <c r="D37" s="1" t="s">
        <v>570</v>
      </c>
      <c r="E37" s="1" t="s">
        <v>498</v>
      </c>
      <c r="F37" s="36">
        <v>45565.0</v>
      </c>
      <c r="G37" s="1">
        <v>1.0</v>
      </c>
      <c r="H37" s="8" t="str">
        <f t="shared" si="1"/>
        <v>2000</v>
      </c>
      <c r="I37" s="8" t="str">
        <f t="shared" si="2"/>
        <v>02</v>
      </c>
      <c r="J37" s="8" t="str">
        <f t="shared" si="3"/>
        <v>04</v>
      </c>
      <c r="K37" s="37">
        <f t="shared" si="4"/>
        <v>36560</v>
      </c>
      <c r="L37" s="37">
        <f t="shared" si="5"/>
        <v>45692</v>
      </c>
    </row>
    <row r="38">
      <c r="A38" s="1">
        <v>37.0</v>
      </c>
      <c r="B38" s="1">
        <v>8.30500001E8</v>
      </c>
      <c r="C38" s="1" t="s">
        <v>571</v>
      </c>
      <c r="D38" s="1" t="s">
        <v>572</v>
      </c>
      <c r="E38" s="1" t="s">
        <v>498</v>
      </c>
      <c r="F38" s="36">
        <v>45565.0</v>
      </c>
      <c r="G38" s="1">
        <v>1.0</v>
      </c>
      <c r="H38" s="8" t="str">
        <f t="shared" si="1"/>
        <v>2000</v>
      </c>
      <c r="I38" s="8" t="str">
        <f t="shared" si="2"/>
        <v>08</v>
      </c>
      <c r="J38" s="8" t="str">
        <f t="shared" si="3"/>
        <v>20</v>
      </c>
      <c r="K38" s="37">
        <f t="shared" si="4"/>
        <v>36758</v>
      </c>
      <c r="L38" s="37">
        <f t="shared" si="5"/>
        <v>45889</v>
      </c>
    </row>
    <row r="39">
      <c r="A39" s="1">
        <v>38.0</v>
      </c>
      <c r="B39" s="1">
        <v>8.30300005E8</v>
      </c>
      <c r="C39" s="1" t="s">
        <v>573</v>
      </c>
      <c r="D39" s="1" t="s">
        <v>574</v>
      </c>
      <c r="E39" s="1" t="s">
        <v>498</v>
      </c>
      <c r="F39" s="36">
        <v>45565.0</v>
      </c>
      <c r="G39" s="1">
        <v>1.0</v>
      </c>
      <c r="H39" s="8" t="str">
        <f t="shared" si="1"/>
        <v>2000</v>
      </c>
      <c r="I39" s="8" t="str">
        <f t="shared" si="2"/>
        <v>04</v>
      </c>
      <c r="J39" s="8" t="str">
        <f t="shared" si="3"/>
        <v>09</v>
      </c>
      <c r="K39" s="37">
        <f t="shared" si="4"/>
        <v>36625</v>
      </c>
      <c r="L39" s="37">
        <f t="shared" si="5"/>
        <v>45756</v>
      </c>
    </row>
    <row r="40">
      <c r="A40" s="1">
        <v>39.0</v>
      </c>
      <c r="B40" s="1">
        <v>8.30100015E8</v>
      </c>
      <c r="C40" s="1" t="s">
        <v>575</v>
      </c>
      <c r="D40" s="1" t="s">
        <v>576</v>
      </c>
      <c r="E40" s="1" t="s">
        <v>498</v>
      </c>
      <c r="F40" s="36">
        <v>45565.0</v>
      </c>
      <c r="G40" s="1">
        <v>1.0</v>
      </c>
      <c r="H40" s="8" t="str">
        <f t="shared" si="1"/>
        <v>2001</v>
      </c>
      <c r="I40" s="8" t="str">
        <f t="shared" si="2"/>
        <v>05</v>
      </c>
      <c r="J40" s="8" t="str">
        <f t="shared" si="3"/>
        <v>25</v>
      </c>
      <c r="K40" s="37">
        <f t="shared" si="4"/>
        <v>37036</v>
      </c>
      <c r="L40" s="37">
        <f t="shared" si="5"/>
        <v>45802</v>
      </c>
    </row>
    <row r="41">
      <c r="A41" s="1">
        <v>40.0</v>
      </c>
      <c r="B41" s="1">
        <v>8.3030001E8</v>
      </c>
      <c r="C41" s="1" t="s">
        <v>577</v>
      </c>
      <c r="D41" s="1" t="s">
        <v>578</v>
      </c>
      <c r="E41" s="1" t="s">
        <v>498</v>
      </c>
      <c r="F41" s="36">
        <v>45565.0</v>
      </c>
      <c r="G41" s="1">
        <v>1.0</v>
      </c>
      <c r="H41" s="8" t="str">
        <f t="shared" si="1"/>
        <v>2000</v>
      </c>
      <c r="I41" s="8" t="str">
        <f t="shared" si="2"/>
        <v>04</v>
      </c>
      <c r="J41" s="8" t="str">
        <f t="shared" si="3"/>
        <v>26</v>
      </c>
      <c r="K41" s="37">
        <f t="shared" si="4"/>
        <v>36642</v>
      </c>
      <c r="L41" s="37">
        <f t="shared" si="5"/>
        <v>45773</v>
      </c>
    </row>
    <row r="42">
      <c r="A42" s="1">
        <v>41.0</v>
      </c>
      <c r="B42" s="1">
        <v>1.30300001E8</v>
      </c>
      <c r="C42" s="1" t="s">
        <v>579</v>
      </c>
      <c r="D42" s="1" t="s">
        <v>580</v>
      </c>
      <c r="E42" s="1" t="s">
        <v>498</v>
      </c>
      <c r="F42" s="36">
        <v>45565.0</v>
      </c>
      <c r="G42" s="1">
        <v>1.0</v>
      </c>
      <c r="H42" s="8" t="str">
        <f t="shared" si="1"/>
        <v>2001</v>
      </c>
      <c r="I42" s="8" t="str">
        <f t="shared" si="2"/>
        <v>06</v>
      </c>
      <c r="J42" s="8" t="str">
        <f t="shared" si="3"/>
        <v>30</v>
      </c>
      <c r="K42" s="37">
        <f t="shared" si="4"/>
        <v>37072</v>
      </c>
      <c r="L42" s="37">
        <f t="shared" si="5"/>
        <v>45838</v>
      </c>
    </row>
    <row r="43">
      <c r="A43" s="1">
        <v>42.0</v>
      </c>
      <c r="B43" s="1">
        <v>8.30100049E8</v>
      </c>
      <c r="C43" s="1" t="s">
        <v>581</v>
      </c>
      <c r="D43" s="1" t="s">
        <v>582</v>
      </c>
      <c r="E43" s="1" t="s">
        <v>498</v>
      </c>
      <c r="F43" s="36">
        <v>45565.0</v>
      </c>
      <c r="G43" s="1">
        <v>1.0</v>
      </c>
      <c r="H43" s="8" t="str">
        <f t="shared" si="1"/>
        <v>2000</v>
      </c>
      <c r="I43" s="8" t="str">
        <f t="shared" si="2"/>
        <v>01</v>
      </c>
      <c r="J43" s="8" t="str">
        <f t="shared" si="3"/>
        <v>09</v>
      </c>
      <c r="K43" s="37">
        <f t="shared" si="4"/>
        <v>36534</v>
      </c>
      <c r="L43" s="37">
        <f t="shared" si="5"/>
        <v>45666</v>
      </c>
    </row>
    <row r="44">
      <c r="A44" s="1">
        <v>43.0</v>
      </c>
      <c r="B44" s="1">
        <v>8.30100048E8</v>
      </c>
      <c r="C44" s="1" t="s">
        <v>583</v>
      </c>
      <c r="D44" s="1" t="s">
        <v>584</v>
      </c>
      <c r="E44" s="1" t="s">
        <v>498</v>
      </c>
      <c r="F44" s="36">
        <v>45565.0</v>
      </c>
      <c r="G44" s="1">
        <v>1.0</v>
      </c>
      <c r="H44" s="8" t="str">
        <f t="shared" si="1"/>
        <v>2000</v>
      </c>
      <c r="I44" s="8" t="str">
        <f t="shared" si="2"/>
        <v>02</v>
      </c>
      <c r="J44" s="8" t="str">
        <f t="shared" si="3"/>
        <v>20</v>
      </c>
      <c r="K44" s="37">
        <f t="shared" si="4"/>
        <v>36576</v>
      </c>
      <c r="L44" s="37">
        <f t="shared" si="5"/>
        <v>45708</v>
      </c>
    </row>
    <row r="45">
      <c r="A45" s="1">
        <v>44.0</v>
      </c>
      <c r="B45" s="1">
        <v>8.30400004E8</v>
      </c>
      <c r="C45" s="1" t="s">
        <v>585</v>
      </c>
      <c r="D45" s="1" t="s">
        <v>586</v>
      </c>
      <c r="E45" s="1" t="s">
        <v>498</v>
      </c>
      <c r="F45" s="36">
        <v>45565.0</v>
      </c>
      <c r="G45" s="1">
        <v>1.0</v>
      </c>
      <c r="H45" s="8" t="str">
        <f t="shared" si="1"/>
        <v>2001</v>
      </c>
      <c r="I45" s="8" t="str">
        <f t="shared" si="2"/>
        <v>02</v>
      </c>
      <c r="J45" s="8" t="str">
        <f t="shared" si="3"/>
        <v>25</v>
      </c>
      <c r="K45" s="37">
        <f t="shared" si="4"/>
        <v>36947</v>
      </c>
      <c r="L45" s="37">
        <f t="shared" si="5"/>
        <v>45713</v>
      </c>
    </row>
    <row r="46">
      <c r="A46" s="1">
        <v>45.0</v>
      </c>
      <c r="B46" s="1">
        <v>8.30400006E8</v>
      </c>
      <c r="C46" s="1" t="s">
        <v>587</v>
      </c>
      <c r="D46" s="1" t="s">
        <v>588</v>
      </c>
      <c r="E46" s="1" t="s">
        <v>522</v>
      </c>
      <c r="F46" s="36">
        <v>45565.0</v>
      </c>
      <c r="G46" s="1">
        <v>1.0</v>
      </c>
      <c r="H46" s="8" t="str">
        <f t="shared" si="1"/>
        <v>2000</v>
      </c>
      <c r="I46" s="8" t="str">
        <f t="shared" si="2"/>
        <v>10</v>
      </c>
      <c r="J46" s="8" t="str">
        <f t="shared" si="3"/>
        <v>18</v>
      </c>
      <c r="K46" s="37">
        <f t="shared" si="4"/>
        <v>36817</v>
      </c>
      <c r="L46" s="37">
        <f t="shared" si="5"/>
        <v>45948</v>
      </c>
    </row>
    <row r="47">
      <c r="A47" s="1">
        <v>46.0</v>
      </c>
      <c r="B47" s="1">
        <v>8.30100032E8</v>
      </c>
      <c r="C47" s="1" t="s">
        <v>589</v>
      </c>
      <c r="D47" s="1" t="s">
        <v>590</v>
      </c>
      <c r="E47" s="1" t="s">
        <v>498</v>
      </c>
      <c r="F47" s="36">
        <v>45565.0</v>
      </c>
      <c r="G47" s="1">
        <v>1.0</v>
      </c>
      <c r="H47" s="8" t="str">
        <f t="shared" si="1"/>
        <v>2000</v>
      </c>
      <c r="I47" s="8" t="str">
        <f t="shared" si="2"/>
        <v>03</v>
      </c>
      <c r="J47" s="8" t="str">
        <f t="shared" si="3"/>
        <v>31</v>
      </c>
      <c r="K47" s="37">
        <f t="shared" si="4"/>
        <v>36616</v>
      </c>
      <c r="L47" s="37">
        <f t="shared" si="5"/>
        <v>45747</v>
      </c>
    </row>
    <row r="48">
      <c r="A48" s="1">
        <v>47.0</v>
      </c>
      <c r="B48" s="1">
        <v>8.30300003E8</v>
      </c>
      <c r="C48" s="1" t="s">
        <v>591</v>
      </c>
      <c r="D48" s="1" t="s">
        <v>592</v>
      </c>
      <c r="E48" s="1" t="s">
        <v>513</v>
      </c>
      <c r="F48" s="36">
        <v>45565.0</v>
      </c>
      <c r="G48" s="1">
        <v>1.0</v>
      </c>
      <c r="H48" s="8" t="str">
        <f t="shared" si="1"/>
        <v>2000</v>
      </c>
      <c r="I48" s="8" t="str">
        <f t="shared" si="2"/>
        <v>01</v>
      </c>
      <c r="J48" s="8" t="str">
        <f t="shared" si="3"/>
        <v>06</v>
      </c>
      <c r="K48" s="37">
        <f t="shared" si="4"/>
        <v>36531</v>
      </c>
      <c r="L48" s="37">
        <f t="shared" si="5"/>
        <v>45663</v>
      </c>
    </row>
    <row r="49">
      <c r="A49" s="1">
        <v>48.0</v>
      </c>
      <c r="B49" s="1">
        <v>8.30100044E8</v>
      </c>
      <c r="C49" s="1" t="s">
        <v>593</v>
      </c>
      <c r="D49" s="1" t="s">
        <v>594</v>
      </c>
      <c r="E49" s="1" t="s">
        <v>498</v>
      </c>
      <c r="F49" s="36">
        <v>45565.0</v>
      </c>
      <c r="G49" s="1">
        <v>1.0</v>
      </c>
      <c r="H49" s="8" t="str">
        <f t="shared" si="1"/>
        <v>1999</v>
      </c>
      <c r="I49" s="8" t="str">
        <f t="shared" si="2"/>
        <v>11</v>
      </c>
      <c r="J49" s="8" t="str">
        <f t="shared" si="3"/>
        <v>28</v>
      </c>
      <c r="K49" s="37">
        <f t="shared" si="4"/>
        <v>36492</v>
      </c>
      <c r="L49" s="37">
        <f t="shared" si="5"/>
        <v>45989</v>
      </c>
    </row>
    <row r="50">
      <c r="A50" s="1">
        <v>49.0</v>
      </c>
      <c r="B50" s="1">
        <v>8.30500005E8</v>
      </c>
      <c r="C50" s="1" t="s">
        <v>595</v>
      </c>
      <c r="D50" s="1" t="s">
        <v>596</v>
      </c>
      <c r="E50" s="1" t="s">
        <v>522</v>
      </c>
      <c r="F50" s="36">
        <v>45565.0</v>
      </c>
      <c r="G50" s="1">
        <v>1.0</v>
      </c>
      <c r="H50" s="8" t="str">
        <f t="shared" si="1"/>
        <v>2001</v>
      </c>
      <c r="I50" s="8" t="str">
        <f t="shared" si="2"/>
        <v>04</v>
      </c>
      <c r="J50" s="8" t="str">
        <f t="shared" si="3"/>
        <v>25</v>
      </c>
      <c r="K50" s="37">
        <f t="shared" si="4"/>
        <v>37006</v>
      </c>
      <c r="L50" s="37">
        <f t="shared" si="5"/>
        <v>45772</v>
      </c>
    </row>
    <row r="51">
      <c r="A51" s="1">
        <v>50.0</v>
      </c>
      <c r="B51" s="1">
        <v>8.30100043E8</v>
      </c>
      <c r="C51" s="1" t="s">
        <v>597</v>
      </c>
      <c r="D51" s="1" t="s">
        <v>598</v>
      </c>
      <c r="E51" s="1" t="s">
        <v>498</v>
      </c>
      <c r="F51" s="36">
        <v>45565.0</v>
      </c>
      <c r="G51" s="1">
        <v>1.0</v>
      </c>
      <c r="H51" s="8" t="str">
        <f t="shared" si="1"/>
        <v>1999</v>
      </c>
      <c r="I51" s="8" t="str">
        <f t="shared" si="2"/>
        <v>12</v>
      </c>
      <c r="J51" s="8" t="str">
        <f t="shared" si="3"/>
        <v>20</v>
      </c>
      <c r="K51" s="37">
        <f t="shared" si="4"/>
        <v>36514</v>
      </c>
      <c r="L51" s="37">
        <f t="shared" si="5"/>
        <v>46011</v>
      </c>
    </row>
    <row r="52">
      <c r="A52" s="1">
        <v>51.0</v>
      </c>
      <c r="B52" s="1">
        <v>8.30100038E8</v>
      </c>
      <c r="C52" s="1" t="s">
        <v>599</v>
      </c>
      <c r="D52" s="1" t="s">
        <v>600</v>
      </c>
      <c r="E52" s="1" t="s">
        <v>513</v>
      </c>
      <c r="F52" s="36">
        <v>45565.0</v>
      </c>
      <c r="G52" s="1">
        <v>1.0</v>
      </c>
      <c r="H52" s="8" t="str">
        <f t="shared" si="1"/>
        <v>1999</v>
      </c>
      <c r="I52" s="8" t="str">
        <f t="shared" si="2"/>
        <v>12</v>
      </c>
      <c r="J52" s="8" t="str">
        <f t="shared" si="3"/>
        <v>29</v>
      </c>
      <c r="K52" s="37">
        <f t="shared" si="4"/>
        <v>36523</v>
      </c>
      <c r="L52" s="37">
        <f t="shared" si="5"/>
        <v>46020</v>
      </c>
    </row>
    <row r="53">
      <c r="A53" s="1">
        <v>52.0</v>
      </c>
      <c r="B53" s="1">
        <v>8.3010004E8</v>
      </c>
      <c r="C53" s="1" t="s">
        <v>601</v>
      </c>
      <c r="D53" s="1" t="s">
        <v>602</v>
      </c>
      <c r="E53" s="1" t="s">
        <v>498</v>
      </c>
      <c r="F53" s="36">
        <v>45565.0</v>
      </c>
      <c r="G53" s="1">
        <v>1.0</v>
      </c>
      <c r="H53" s="8" t="str">
        <f t="shared" si="1"/>
        <v>2000</v>
      </c>
      <c r="I53" s="8" t="str">
        <f t="shared" si="2"/>
        <v>10</v>
      </c>
      <c r="J53" s="8" t="str">
        <f t="shared" si="3"/>
        <v>24</v>
      </c>
      <c r="K53" s="37">
        <f t="shared" si="4"/>
        <v>36823</v>
      </c>
      <c r="L53" s="37">
        <f t="shared" si="5"/>
        <v>45954</v>
      </c>
    </row>
    <row r="54">
      <c r="A54" s="1">
        <v>53.0</v>
      </c>
      <c r="B54" s="1">
        <v>8.30100016E8</v>
      </c>
      <c r="C54" s="1" t="s">
        <v>603</v>
      </c>
      <c r="D54" s="1" t="s">
        <v>604</v>
      </c>
      <c r="E54" s="1" t="s">
        <v>513</v>
      </c>
      <c r="F54" s="36">
        <v>45565.0</v>
      </c>
      <c r="G54" s="1">
        <v>1.0</v>
      </c>
      <c r="H54" s="8" t="str">
        <f t="shared" si="1"/>
        <v>2000</v>
      </c>
      <c r="I54" s="8" t="str">
        <f t="shared" si="2"/>
        <v>10</v>
      </c>
      <c r="J54" s="8" t="str">
        <f t="shared" si="3"/>
        <v>12</v>
      </c>
      <c r="K54" s="37">
        <f t="shared" si="4"/>
        <v>36811</v>
      </c>
      <c r="L54" s="37">
        <f t="shared" si="5"/>
        <v>45942</v>
      </c>
    </row>
    <row r="55">
      <c r="A55" s="1">
        <v>54.0</v>
      </c>
      <c r="B55" s="1">
        <v>8.3010003E8</v>
      </c>
      <c r="C55" s="1" t="s">
        <v>605</v>
      </c>
      <c r="D55" s="1" t="s">
        <v>606</v>
      </c>
      <c r="E55" s="1" t="s">
        <v>498</v>
      </c>
      <c r="F55" s="36">
        <v>45565.0</v>
      </c>
      <c r="G55" s="1">
        <v>1.0</v>
      </c>
      <c r="H55" s="8" t="str">
        <f t="shared" si="1"/>
        <v>1999</v>
      </c>
      <c r="I55" s="8" t="str">
        <f t="shared" si="2"/>
        <v>11</v>
      </c>
      <c r="J55" s="8" t="str">
        <f t="shared" si="3"/>
        <v>13</v>
      </c>
      <c r="K55" s="37">
        <f t="shared" si="4"/>
        <v>36477</v>
      </c>
      <c r="L55" s="37">
        <f t="shared" si="5"/>
        <v>45974</v>
      </c>
    </row>
    <row r="56">
      <c r="A56" s="1">
        <v>55.0</v>
      </c>
      <c r="B56" s="1">
        <v>1.131100001E9</v>
      </c>
      <c r="C56" s="1" t="s">
        <v>607</v>
      </c>
      <c r="D56" s="1" t="s">
        <v>608</v>
      </c>
      <c r="E56" s="1" t="s">
        <v>609</v>
      </c>
      <c r="F56" s="36">
        <v>45565.0</v>
      </c>
      <c r="G56" s="1">
        <v>1.0</v>
      </c>
      <c r="H56" s="8" t="str">
        <f t="shared" si="1"/>
        <v>1999</v>
      </c>
      <c r="I56" s="8" t="str">
        <f t="shared" si="2"/>
        <v>10</v>
      </c>
      <c r="J56" s="8" t="str">
        <f t="shared" si="3"/>
        <v>28</v>
      </c>
      <c r="K56" s="37">
        <f t="shared" si="4"/>
        <v>36461</v>
      </c>
      <c r="L56" s="37">
        <f t="shared" si="5"/>
        <v>45958</v>
      </c>
    </row>
    <row r="57">
      <c r="A57" s="1">
        <v>56.0</v>
      </c>
      <c r="B57" s="1">
        <v>1.130200003E9</v>
      </c>
      <c r="C57" s="1" t="s">
        <v>610</v>
      </c>
      <c r="D57" s="1" t="s">
        <v>611</v>
      </c>
      <c r="E57" s="1" t="s">
        <v>609</v>
      </c>
      <c r="F57" s="36">
        <v>45565.0</v>
      </c>
      <c r="G57" s="1">
        <v>1.0</v>
      </c>
      <c r="H57" s="8" t="str">
        <f t="shared" si="1"/>
        <v>2000</v>
      </c>
      <c r="I57" s="8" t="str">
        <f t="shared" si="2"/>
        <v>07</v>
      </c>
      <c r="J57" s="8" t="str">
        <f t="shared" si="3"/>
        <v>11</v>
      </c>
      <c r="K57" s="37">
        <f t="shared" si="4"/>
        <v>36718</v>
      </c>
      <c r="L57" s="37">
        <f t="shared" si="5"/>
        <v>45849</v>
      </c>
    </row>
    <row r="58">
      <c r="A58" s="1">
        <v>57.0</v>
      </c>
      <c r="B58" s="1">
        <v>1.130100005E9</v>
      </c>
      <c r="C58" s="1" t="s">
        <v>612</v>
      </c>
      <c r="D58" s="1" t="s">
        <v>613</v>
      </c>
      <c r="E58" s="1" t="s">
        <v>609</v>
      </c>
      <c r="F58" s="36">
        <v>45565.0</v>
      </c>
      <c r="G58" s="1">
        <v>1.0</v>
      </c>
      <c r="H58" s="8" t="str">
        <f t="shared" si="1"/>
        <v>2001</v>
      </c>
      <c r="I58" s="8" t="str">
        <f t="shared" si="2"/>
        <v>02</v>
      </c>
      <c r="J58" s="8" t="str">
        <f t="shared" si="3"/>
        <v>20</v>
      </c>
      <c r="K58" s="37">
        <f t="shared" si="4"/>
        <v>36942</v>
      </c>
      <c r="L58" s="37">
        <f t="shared" si="5"/>
        <v>45708</v>
      </c>
    </row>
    <row r="59">
      <c r="A59" s="1">
        <v>58.0</v>
      </c>
      <c r="B59" s="1">
        <v>4.31100001E8</v>
      </c>
      <c r="C59" s="1" t="s">
        <v>614</v>
      </c>
      <c r="D59" s="1" t="s">
        <v>615</v>
      </c>
      <c r="E59" s="1" t="s">
        <v>609</v>
      </c>
      <c r="F59" s="36">
        <v>45565.0</v>
      </c>
      <c r="G59" s="1">
        <v>1.0</v>
      </c>
      <c r="H59" s="8" t="str">
        <f t="shared" si="1"/>
        <v>2000</v>
      </c>
      <c r="I59" s="8" t="str">
        <f t="shared" si="2"/>
        <v>03</v>
      </c>
      <c r="J59" s="8" t="str">
        <f t="shared" si="3"/>
        <v>17</v>
      </c>
      <c r="K59" s="37">
        <f t="shared" si="4"/>
        <v>36602</v>
      </c>
      <c r="L59" s="37">
        <f t="shared" si="5"/>
        <v>45733</v>
      </c>
    </row>
    <row r="60">
      <c r="A60" s="1">
        <v>59.0</v>
      </c>
      <c r="B60" s="1">
        <v>1.130700002E9</v>
      </c>
      <c r="C60" s="1" t="s">
        <v>616</v>
      </c>
      <c r="D60" s="1" t="s">
        <v>617</v>
      </c>
      <c r="E60" s="1" t="s">
        <v>609</v>
      </c>
      <c r="F60" s="36">
        <v>45565.0</v>
      </c>
      <c r="G60" s="1">
        <v>1.0</v>
      </c>
      <c r="H60" s="8" t="str">
        <f t="shared" si="1"/>
        <v>2000</v>
      </c>
      <c r="I60" s="8" t="str">
        <f t="shared" si="2"/>
        <v>02</v>
      </c>
      <c r="J60" s="8" t="str">
        <f t="shared" si="3"/>
        <v>28</v>
      </c>
      <c r="K60" s="37">
        <f t="shared" si="4"/>
        <v>36584</v>
      </c>
      <c r="L60" s="37">
        <f t="shared" si="5"/>
        <v>45716</v>
      </c>
    </row>
    <row r="61">
      <c r="A61" s="1">
        <v>60.0</v>
      </c>
      <c r="B61" s="1">
        <v>1.130400001E9</v>
      </c>
      <c r="C61" s="1" t="s">
        <v>618</v>
      </c>
      <c r="D61" s="1" t="s">
        <v>619</v>
      </c>
      <c r="E61" s="1" t="s">
        <v>609</v>
      </c>
      <c r="F61" s="36">
        <v>45565.0</v>
      </c>
      <c r="G61" s="1">
        <v>1.0</v>
      </c>
      <c r="H61" s="8" t="str">
        <f t="shared" si="1"/>
        <v>2000</v>
      </c>
      <c r="I61" s="8" t="str">
        <f t="shared" si="2"/>
        <v>06</v>
      </c>
      <c r="J61" s="8" t="str">
        <f t="shared" si="3"/>
        <v>22</v>
      </c>
      <c r="K61" s="37">
        <f t="shared" si="4"/>
        <v>36699</v>
      </c>
      <c r="L61" s="37">
        <f t="shared" si="5"/>
        <v>45830</v>
      </c>
    </row>
    <row r="62">
      <c r="A62" s="1">
        <v>61.0</v>
      </c>
      <c r="B62" s="1">
        <v>1.130100003E9</v>
      </c>
      <c r="C62" s="1" t="s">
        <v>620</v>
      </c>
      <c r="D62" s="1" t="s">
        <v>621</v>
      </c>
      <c r="E62" s="1" t="s">
        <v>609</v>
      </c>
      <c r="F62" s="36">
        <v>45565.0</v>
      </c>
      <c r="G62" s="1">
        <v>1.0</v>
      </c>
      <c r="H62" s="8" t="str">
        <f t="shared" si="1"/>
        <v>2001</v>
      </c>
      <c r="I62" s="8" t="str">
        <f t="shared" si="2"/>
        <v>04</v>
      </c>
      <c r="J62" s="8" t="str">
        <f t="shared" si="3"/>
        <v>01</v>
      </c>
      <c r="K62" s="37">
        <f t="shared" si="4"/>
        <v>36982</v>
      </c>
      <c r="L62" s="37">
        <f t="shared" si="5"/>
        <v>45748</v>
      </c>
    </row>
    <row r="63">
      <c r="A63" s="1">
        <v>62.0</v>
      </c>
      <c r="B63" s="1">
        <v>4.31600002E8</v>
      </c>
      <c r="C63" s="1" t="s">
        <v>622</v>
      </c>
      <c r="D63" s="1" t="s">
        <v>623</v>
      </c>
      <c r="E63" s="1" t="s">
        <v>609</v>
      </c>
      <c r="F63" s="36">
        <v>45565.0</v>
      </c>
      <c r="G63" s="1">
        <v>1.0</v>
      </c>
      <c r="H63" s="8" t="str">
        <f t="shared" si="1"/>
        <v>2000</v>
      </c>
      <c r="I63" s="8" t="str">
        <f t="shared" si="2"/>
        <v>03</v>
      </c>
      <c r="J63" s="8" t="str">
        <f t="shared" si="3"/>
        <v>29</v>
      </c>
      <c r="K63" s="37">
        <f t="shared" si="4"/>
        <v>36614</v>
      </c>
      <c r="L63" s="37">
        <f t="shared" si="5"/>
        <v>45745</v>
      </c>
    </row>
    <row r="64">
      <c r="A64" s="1">
        <v>63.0</v>
      </c>
      <c r="B64" s="1">
        <v>4.31100002E8</v>
      </c>
      <c r="C64" s="1" t="s">
        <v>624</v>
      </c>
      <c r="D64" s="1" t="s">
        <v>625</v>
      </c>
      <c r="E64" s="1" t="s">
        <v>609</v>
      </c>
      <c r="F64" s="36">
        <v>45565.0</v>
      </c>
      <c r="G64" s="1">
        <v>1.0</v>
      </c>
      <c r="H64" s="8" t="str">
        <f t="shared" si="1"/>
        <v>2000</v>
      </c>
      <c r="I64" s="8" t="str">
        <f t="shared" si="2"/>
        <v>10</v>
      </c>
      <c r="J64" s="8" t="str">
        <f t="shared" si="3"/>
        <v>27</v>
      </c>
      <c r="K64" s="37">
        <f t="shared" si="4"/>
        <v>36826</v>
      </c>
      <c r="L64" s="37">
        <f t="shared" si="5"/>
        <v>45957</v>
      </c>
    </row>
    <row r="65">
      <c r="A65" s="1">
        <v>64.0</v>
      </c>
      <c r="B65" s="1">
        <v>1.130100008E9</v>
      </c>
      <c r="C65" s="1" t="s">
        <v>626</v>
      </c>
      <c r="D65" s="1" t="s">
        <v>627</v>
      </c>
      <c r="E65" s="1" t="s">
        <v>609</v>
      </c>
      <c r="F65" s="36">
        <v>45565.0</v>
      </c>
      <c r="G65" s="1">
        <v>1.0</v>
      </c>
      <c r="H65" s="8" t="str">
        <f t="shared" si="1"/>
        <v>1999</v>
      </c>
      <c r="I65" s="8" t="str">
        <f t="shared" si="2"/>
        <v>10</v>
      </c>
      <c r="J65" s="8" t="str">
        <f t="shared" si="3"/>
        <v>24</v>
      </c>
      <c r="K65" s="37">
        <f t="shared" si="4"/>
        <v>36457</v>
      </c>
      <c r="L65" s="37">
        <f t="shared" si="5"/>
        <v>45954</v>
      </c>
    </row>
    <row r="66">
      <c r="A66" s="1">
        <v>65.0</v>
      </c>
      <c r="B66" s="1">
        <v>1.130100011E9</v>
      </c>
      <c r="C66" s="1" t="s">
        <v>628</v>
      </c>
      <c r="D66" s="1" t="s">
        <v>629</v>
      </c>
      <c r="E66" s="1" t="s">
        <v>609</v>
      </c>
      <c r="F66" s="36">
        <v>45565.0</v>
      </c>
      <c r="G66" s="1">
        <v>1.0</v>
      </c>
      <c r="H66" s="8" t="str">
        <f t="shared" si="1"/>
        <v>2000</v>
      </c>
      <c r="I66" s="8" t="str">
        <f t="shared" si="2"/>
        <v>02</v>
      </c>
      <c r="J66" s="8" t="str">
        <f t="shared" si="3"/>
        <v>06</v>
      </c>
      <c r="K66" s="37">
        <f t="shared" si="4"/>
        <v>36562</v>
      </c>
      <c r="L66" s="37">
        <f t="shared" si="5"/>
        <v>45694</v>
      </c>
    </row>
    <row r="67">
      <c r="A67" s="1">
        <v>66.0</v>
      </c>
      <c r="B67" s="1">
        <v>1.130400003E9</v>
      </c>
      <c r="C67" s="1" t="s">
        <v>630</v>
      </c>
      <c r="D67" s="1" t="s">
        <v>631</v>
      </c>
      <c r="E67" s="1" t="s">
        <v>609</v>
      </c>
      <c r="F67" s="36">
        <v>45565.0</v>
      </c>
      <c r="G67" s="1">
        <v>1.0</v>
      </c>
      <c r="H67" s="8" t="str">
        <f t="shared" si="1"/>
        <v>2000</v>
      </c>
      <c r="I67" s="8" t="str">
        <f t="shared" si="2"/>
        <v>04</v>
      </c>
      <c r="J67" s="8" t="str">
        <f t="shared" si="3"/>
        <v>24</v>
      </c>
      <c r="K67" s="37">
        <f t="shared" si="4"/>
        <v>36640</v>
      </c>
      <c r="L67" s="37">
        <f t="shared" si="5"/>
        <v>45771</v>
      </c>
    </row>
    <row r="68">
      <c r="A68" s="1">
        <v>67.0</v>
      </c>
      <c r="B68" s="1">
        <v>1.130800004E9</v>
      </c>
      <c r="C68" s="1" t="s">
        <v>632</v>
      </c>
      <c r="D68" s="1" t="s">
        <v>633</v>
      </c>
      <c r="E68" s="1" t="s">
        <v>609</v>
      </c>
      <c r="F68" s="36">
        <v>45565.0</v>
      </c>
      <c r="G68" s="1">
        <v>1.0</v>
      </c>
      <c r="H68" s="8" t="str">
        <f t="shared" si="1"/>
        <v>1999</v>
      </c>
      <c r="I68" s="8" t="str">
        <f t="shared" si="2"/>
        <v>11</v>
      </c>
      <c r="J68" s="8" t="str">
        <f t="shared" si="3"/>
        <v>08</v>
      </c>
      <c r="K68" s="37">
        <f t="shared" si="4"/>
        <v>36472</v>
      </c>
      <c r="L68" s="37">
        <f t="shared" si="5"/>
        <v>45969</v>
      </c>
    </row>
    <row r="69">
      <c r="A69" s="1">
        <v>68.0</v>
      </c>
      <c r="B69" s="1">
        <v>1.130100012E9</v>
      </c>
      <c r="C69" s="1" t="s">
        <v>634</v>
      </c>
      <c r="D69" s="1" t="s">
        <v>635</v>
      </c>
      <c r="E69" s="1" t="s">
        <v>609</v>
      </c>
      <c r="F69" s="36">
        <v>45565.0</v>
      </c>
      <c r="G69" s="1">
        <v>1.0</v>
      </c>
      <c r="H69" s="8" t="str">
        <f t="shared" si="1"/>
        <v>2000</v>
      </c>
      <c r="I69" s="8" t="str">
        <f t="shared" si="2"/>
        <v>03</v>
      </c>
      <c r="J69" s="8" t="str">
        <f t="shared" si="3"/>
        <v>28</v>
      </c>
      <c r="K69" s="37">
        <f t="shared" si="4"/>
        <v>36613</v>
      </c>
      <c r="L69" s="37">
        <f t="shared" si="5"/>
        <v>45744</v>
      </c>
    </row>
    <row r="70">
      <c r="A70" s="1">
        <v>69.0</v>
      </c>
      <c r="B70" s="1">
        <v>1.13010001E9</v>
      </c>
      <c r="C70" s="1" t="s">
        <v>636</v>
      </c>
      <c r="D70" s="1" t="s">
        <v>637</v>
      </c>
      <c r="E70" s="1" t="s">
        <v>609</v>
      </c>
      <c r="F70" s="36">
        <v>45565.0</v>
      </c>
      <c r="G70" s="1">
        <v>1.0</v>
      </c>
      <c r="H70" s="8" t="str">
        <f t="shared" si="1"/>
        <v>2000</v>
      </c>
      <c r="I70" s="8" t="str">
        <f t="shared" si="2"/>
        <v>09</v>
      </c>
      <c r="J70" s="8" t="str">
        <f t="shared" si="3"/>
        <v>11</v>
      </c>
      <c r="K70" s="37">
        <f t="shared" si="4"/>
        <v>36780</v>
      </c>
      <c r="L70" s="37">
        <f t="shared" si="5"/>
        <v>45911</v>
      </c>
    </row>
    <row r="71">
      <c r="A71" s="1">
        <v>70.0</v>
      </c>
      <c r="B71" s="1">
        <v>4.30400001E8</v>
      </c>
      <c r="C71" s="1" t="s">
        <v>638</v>
      </c>
      <c r="D71" s="1" t="s">
        <v>639</v>
      </c>
      <c r="E71" s="1" t="s">
        <v>609</v>
      </c>
      <c r="F71" s="36">
        <v>45565.0</v>
      </c>
      <c r="G71" s="1">
        <v>1.0</v>
      </c>
      <c r="H71" s="8" t="str">
        <f t="shared" si="1"/>
        <v>2000</v>
      </c>
      <c r="I71" s="8" t="str">
        <f t="shared" si="2"/>
        <v>10</v>
      </c>
      <c r="J71" s="8" t="str">
        <f t="shared" si="3"/>
        <v>15</v>
      </c>
      <c r="K71" s="37">
        <f t="shared" si="4"/>
        <v>36814</v>
      </c>
      <c r="L71" s="37">
        <f t="shared" si="5"/>
        <v>45945</v>
      </c>
    </row>
    <row r="72">
      <c r="A72" s="1">
        <v>71.0</v>
      </c>
      <c r="B72" s="1">
        <v>1.130800002E9</v>
      </c>
      <c r="C72" s="1" t="s">
        <v>640</v>
      </c>
      <c r="D72" s="1" t="s">
        <v>641</v>
      </c>
      <c r="E72" s="1" t="s">
        <v>609</v>
      </c>
      <c r="F72" s="36">
        <v>45565.0</v>
      </c>
      <c r="G72" s="1">
        <v>1.0</v>
      </c>
      <c r="H72" s="8" t="str">
        <f t="shared" si="1"/>
        <v>2000</v>
      </c>
      <c r="I72" s="8" t="str">
        <f t="shared" si="2"/>
        <v>03</v>
      </c>
      <c r="J72" s="8" t="str">
        <f t="shared" si="3"/>
        <v>01</v>
      </c>
      <c r="K72" s="37">
        <f t="shared" si="4"/>
        <v>36586</v>
      </c>
      <c r="L72" s="37">
        <f t="shared" si="5"/>
        <v>45717</v>
      </c>
    </row>
    <row r="73">
      <c r="A73" s="1">
        <v>72.0</v>
      </c>
      <c r="B73" s="1">
        <v>1.130400002E9</v>
      </c>
      <c r="C73" s="1" t="s">
        <v>642</v>
      </c>
      <c r="D73" s="1" t="s">
        <v>643</v>
      </c>
      <c r="E73" s="1" t="s">
        <v>609</v>
      </c>
      <c r="F73" s="36">
        <v>45565.0</v>
      </c>
      <c r="G73" s="1">
        <v>1.0</v>
      </c>
      <c r="H73" s="8" t="str">
        <f t="shared" si="1"/>
        <v>2001</v>
      </c>
      <c r="I73" s="8" t="str">
        <f t="shared" si="2"/>
        <v>07</v>
      </c>
      <c r="J73" s="8" t="str">
        <f t="shared" si="3"/>
        <v>06</v>
      </c>
      <c r="K73" s="37">
        <f t="shared" si="4"/>
        <v>37078</v>
      </c>
      <c r="L73" s="37">
        <f t="shared" si="5"/>
        <v>45844</v>
      </c>
    </row>
    <row r="74">
      <c r="A74" s="1">
        <v>73.0</v>
      </c>
      <c r="B74" s="1">
        <v>1.130100006E9</v>
      </c>
      <c r="C74" s="1" t="s">
        <v>644</v>
      </c>
      <c r="D74" s="1" t="s">
        <v>645</v>
      </c>
      <c r="E74" s="1" t="s">
        <v>609</v>
      </c>
      <c r="F74" s="36">
        <v>45565.0</v>
      </c>
      <c r="G74" s="1">
        <v>2.0</v>
      </c>
      <c r="H74" s="8" t="str">
        <f t="shared" si="1"/>
        <v>2000</v>
      </c>
      <c r="I74" s="8" t="str">
        <f t="shared" si="2"/>
        <v>08</v>
      </c>
      <c r="J74" s="8" t="str">
        <f t="shared" si="3"/>
        <v>14</v>
      </c>
      <c r="K74" s="37">
        <f t="shared" si="4"/>
        <v>36752</v>
      </c>
      <c r="L74" s="37">
        <f t="shared" si="5"/>
        <v>45883</v>
      </c>
    </row>
    <row r="75">
      <c r="A75" s="1">
        <v>74.0</v>
      </c>
      <c r="B75" s="1">
        <v>1.130100004E9</v>
      </c>
      <c r="C75" s="1" t="s">
        <v>646</v>
      </c>
      <c r="D75" s="1" t="s">
        <v>647</v>
      </c>
      <c r="E75" s="1" t="s">
        <v>609</v>
      </c>
      <c r="F75" s="36">
        <v>45565.0</v>
      </c>
      <c r="G75" s="1">
        <v>2.0</v>
      </c>
      <c r="H75" s="8" t="str">
        <f t="shared" si="1"/>
        <v>2000</v>
      </c>
      <c r="I75" s="8" t="str">
        <f t="shared" si="2"/>
        <v>05</v>
      </c>
      <c r="J75" s="8" t="str">
        <f t="shared" si="3"/>
        <v>23</v>
      </c>
      <c r="K75" s="37">
        <f t="shared" si="4"/>
        <v>36669</v>
      </c>
      <c r="L75" s="37">
        <f t="shared" si="5"/>
        <v>45800</v>
      </c>
    </row>
    <row r="76">
      <c r="A76" s="1">
        <v>75.0</v>
      </c>
      <c r="B76" s="1">
        <v>3.31100001E8</v>
      </c>
      <c r="C76" s="1" t="s">
        <v>648</v>
      </c>
      <c r="D76" s="1" t="s">
        <v>649</v>
      </c>
      <c r="E76" s="1" t="s">
        <v>650</v>
      </c>
      <c r="F76" s="36">
        <v>45565.0</v>
      </c>
      <c r="G76" s="1">
        <v>2.0</v>
      </c>
      <c r="H76" s="8" t="str">
        <f t="shared" si="1"/>
        <v>2000</v>
      </c>
      <c r="I76" s="8" t="str">
        <f t="shared" si="2"/>
        <v>10</v>
      </c>
      <c r="J76" s="8" t="str">
        <f t="shared" si="3"/>
        <v>09</v>
      </c>
      <c r="K76" s="37">
        <f t="shared" si="4"/>
        <v>36808</v>
      </c>
      <c r="L76" s="37">
        <f t="shared" si="5"/>
        <v>45939</v>
      </c>
    </row>
    <row r="77">
      <c r="A77" s="1">
        <v>76.0</v>
      </c>
      <c r="B77" s="1">
        <v>1.030100001E9</v>
      </c>
      <c r="C77" s="1" t="s">
        <v>651</v>
      </c>
      <c r="D77" s="1" t="s">
        <v>652</v>
      </c>
      <c r="E77" s="1" t="s">
        <v>650</v>
      </c>
      <c r="F77" s="36">
        <v>45565.0</v>
      </c>
      <c r="G77" s="1">
        <v>2.0</v>
      </c>
      <c r="H77" s="8" t="str">
        <f t="shared" si="1"/>
        <v>2000</v>
      </c>
      <c r="I77" s="8" t="str">
        <f t="shared" si="2"/>
        <v>01</v>
      </c>
      <c r="J77" s="8" t="str">
        <f t="shared" si="3"/>
        <v>05</v>
      </c>
      <c r="K77" s="37">
        <f t="shared" si="4"/>
        <v>36530</v>
      </c>
      <c r="L77" s="37">
        <f t="shared" si="5"/>
        <v>45662</v>
      </c>
    </row>
    <row r="78">
      <c r="A78" s="1">
        <v>77.0</v>
      </c>
      <c r="B78" s="1">
        <v>3.30900001E8</v>
      </c>
      <c r="C78" s="1" t="s">
        <v>653</v>
      </c>
      <c r="D78" s="1" t="s">
        <v>654</v>
      </c>
      <c r="E78" s="1" t="s">
        <v>650</v>
      </c>
      <c r="F78" s="36">
        <v>45565.0</v>
      </c>
      <c r="G78" s="1">
        <v>2.0</v>
      </c>
      <c r="H78" s="8" t="str">
        <f t="shared" si="1"/>
        <v>2001</v>
      </c>
      <c r="I78" s="8" t="str">
        <f t="shared" si="2"/>
        <v>12</v>
      </c>
      <c r="J78" s="8" t="str">
        <f t="shared" si="3"/>
        <v>29</v>
      </c>
      <c r="K78" s="37">
        <f t="shared" si="4"/>
        <v>37254</v>
      </c>
      <c r="L78" s="37">
        <f t="shared" si="5"/>
        <v>46020</v>
      </c>
    </row>
    <row r="79">
      <c r="A79" s="1">
        <v>78.0</v>
      </c>
      <c r="B79" s="1">
        <v>3.31100005E8</v>
      </c>
      <c r="C79" s="1" t="s">
        <v>655</v>
      </c>
      <c r="D79" s="1" t="s">
        <v>656</v>
      </c>
      <c r="E79" s="1" t="s">
        <v>650</v>
      </c>
      <c r="F79" s="36">
        <v>45565.0</v>
      </c>
      <c r="G79" s="1">
        <v>2.0</v>
      </c>
      <c r="H79" s="8" t="str">
        <f t="shared" si="1"/>
        <v>2000</v>
      </c>
      <c r="I79" s="8" t="str">
        <f t="shared" si="2"/>
        <v>08</v>
      </c>
      <c r="J79" s="8" t="str">
        <f t="shared" si="3"/>
        <v>17</v>
      </c>
      <c r="K79" s="37">
        <f t="shared" si="4"/>
        <v>36755</v>
      </c>
      <c r="L79" s="37">
        <f t="shared" si="5"/>
        <v>45886</v>
      </c>
    </row>
    <row r="80">
      <c r="A80" s="1">
        <v>79.0</v>
      </c>
      <c r="B80" s="1">
        <v>3.30600001E8</v>
      </c>
      <c r="C80" s="1" t="s">
        <v>657</v>
      </c>
      <c r="D80" s="1" t="s">
        <v>658</v>
      </c>
      <c r="E80" s="1" t="s">
        <v>650</v>
      </c>
      <c r="F80" s="36">
        <v>45565.0</v>
      </c>
      <c r="G80" s="1">
        <v>2.0</v>
      </c>
      <c r="H80" s="8" t="str">
        <f t="shared" si="1"/>
        <v>2000</v>
      </c>
      <c r="I80" s="8" t="str">
        <f t="shared" si="2"/>
        <v>10</v>
      </c>
      <c r="J80" s="8" t="str">
        <f t="shared" si="3"/>
        <v>19</v>
      </c>
      <c r="K80" s="37">
        <f t="shared" si="4"/>
        <v>36818</v>
      </c>
      <c r="L80" s="37">
        <f t="shared" si="5"/>
        <v>45949</v>
      </c>
    </row>
    <row r="81">
      <c r="A81" s="1">
        <v>80.0</v>
      </c>
      <c r="B81" s="1">
        <v>3.30300002E8</v>
      </c>
      <c r="C81" s="1" t="s">
        <v>659</v>
      </c>
      <c r="D81" s="1" t="s">
        <v>660</v>
      </c>
      <c r="E81" s="1" t="s">
        <v>650</v>
      </c>
      <c r="F81" s="36">
        <v>45565.0</v>
      </c>
      <c r="G81" s="1">
        <v>2.0</v>
      </c>
      <c r="H81" s="8" t="str">
        <f t="shared" si="1"/>
        <v>2001</v>
      </c>
      <c r="I81" s="8" t="str">
        <f t="shared" si="2"/>
        <v>07</v>
      </c>
      <c r="J81" s="8" t="str">
        <f t="shared" si="3"/>
        <v>08</v>
      </c>
      <c r="K81" s="37">
        <f t="shared" si="4"/>
        <v>37080</v>
      </c>
      <c r="L81" s="37">
        <f t="shared" si="5"/>
        <v>45846</v>
      </c>
    </row>
    <row r="82">
      <c r="A82" s="1">
        <v>81.0</v>
      </c>
      <c r="B82" s="1">
        <v>3.30100005E8</v>
      </c>
      <c r="C82" s="1" t="s">
        <v>661</v>
      </c>
      <c r="D82" s="1" t="s">
        <v>662</v>
      </c>
      <c r="E82" s="1" t="s">
        <v>650</v>
      </c>
      <c r="F82" s="36">
        <v>45565.0</v>
      </c>
      <c r="G82" s="1">
        <v>2.0</v>
      </c>
      <c r="H82" s="8" t="str">
        <f t="shared" si="1"/>
        <v>2000</v>
      </c>
      <c r="I82" s="8" t="str">
        <f t="shared" si="2"/>
        <v>07</v>
      </c>
      <c r="J82" s="8" t="str">
        <f t="shared" si="3"/>
        <v>06</v>
      </c>
      <c r="K82" s="37">
        <f t="shared" si="4"/>
        <v>36713</v>
      </c>
      <c r="L82" s="37">
        <f t="shared" si="5"/>
        <v>45844</v>
      </c>
    </row>
    <row r="83">
      <c r="A83" s="1">
        <v>82.0</v>
      </c>
      <c r="B83" s="1">
        <v>3.30100003E8</v>
      </c>
      <c r="C83" s="1" t="s">
        <v>663</v>
      </c>
      <c r="D83" s="1" t="s">
        <v>664</v>
      </c>
      <c r="E83" s="1" t="s">
        <v>650</v>
      </c>
      <c r="F83" s="36">
        <v>45565.0</v>
      </c>
      <c r="G83" s="1">
        <v>2.0</v>
      </c>
      <c r="H83" s="8" t="str">
        <f t="shared" si="1"/>
        <v>2000</v>
      </c>
      <c r="I83" s="8" t="str">
        <f t="shared" si="2"/>
        <v>11</v>
      </c>
      <c r="J83" s="8" t="str">
        <f t="shared" si="3"/>
        <v>12</v>
      </c>
      <c r="K83" s="37">
        <f t="shared" si="4"/>
        <v>36842</v>
      </c>
      <c r="L83" s="37">
        <f t="shared" si="5"/>
        <v>45973</v>
      </c>
    </row>
    <row r="84">
      <c r="A84" s="1">
        <v>83.0</v>
      </c>
      <c r="B84" s="1">
        <v>3.31100002E8</v>
      </c>
      <c r="C84" s="1" t="s">
        <v>665</v>
      </c>
      <c r="D84" s="1" t="s">
        <v>666</v>
      </c>
      <c r="E84" s="1" t="s">
        <v>650</v>
      </c>
      <c r="F84" s="36">
        <v>45565.0</v>
      </c>
      <c r="G84" s="1">
        <v>2.0</v>
      </c>
      <c r="H84" s="8" t="str">
        <f t="shared" si="1"/>
        <v>2001</v>
      </c>
      <c r="I84" s="8" t="str">
        <f t="shared" si="2"/>
        <v>10</v>
      </c>
      <c r="J84" s="8" t="str">
        <f t="shared" si="3"/>
        <v>06</v>
      </c>
      <c r="K84" s="37">
        <f t="shared" si="4"/>
        <v>37170</v>
      </c>
      <c r="L84" s="37">
        <f t="shared" si="5"/>
        <v>45936</v>
      </c>
    </row>
    <row r="85">
      <c r="A85" s="1">
        <v>84.0</v>
      </c>
      <c r="B85" s="1">
        <v>3.30100004E8</v>
      </c>
      <c r="C85" s="1" t="s">
        <v>667</v>
      </c>
      <c r="D85" s="1" t="s">
        <v>668</v>
      </c>
      <c r="E85" s="1" t="s">
        <v>650</v>
      </c>
      <c r="F85" s="36">
        <v>45565.0</v>
      </c>
      <c r="G85" s="1">
        <v>2.0</v>
      </c>
      <c r="H85" s="8" t="str">
        <f t="shared" si="1"/>
        <v>2000</v>
      </c>
      <c r="I85" s="8" t="str">
        <f t="shared" si="2"/>
        <v>08</v>
      </c>
      <c r="J85" s="8" t="str">
        <f t="shared" si="3"/>
        <v>07</v>
      </c>
      <c r="K85" s="37">
        <f t="shared" si="4"/>
        <v>36745</v>
      </c>
      <c r="L85" s="37">
        <f t="shared" si="5"/>
        <v>45876</v>
      </c>
    </row>
    <row r="86">
      <c r="A86" s="1">
        <v>85.0</v>
      </c>
      <c r="B86" s="1">
        <v>5.30200004E8</v>
      </c>
      <c r="C86" s="1" t="s">
        <v>669</v>
      </c>
      <c r="D86" s="1" t="s">
        <v>670</v>
      </c>
      <c r="E86" s="1" t="s">
        <v>671</v>
      </c>
      <c r="F86" s="36">
        <v>45565.0</v>
      </c>
      <c r="G86" s="1">
        <v>2.0</v>
      </c>
      <c r="H86" s="8" t="str">
        <f t="shared" si="1"/>
        <v>2001</v>
      </c>
      <c r="I86" s="8" t="str">
        <f t="shared" si="2"/>
        <v>02</v>
      </c>
      <c r="J86" s="8" t="str">
        <f t="shared" si="3"/>
        <v>02</v>
      </c>
      <c r="K86" s="37">
        <f t="shared" si="4"/>
        <v>36924</v>
      </c>
      <c r="L86" s="37">
        <f t="shared" si="5"/>
        <v>45690</v>
      </c>
    </row>
    <row r="87">
      <c r="A87" s="1">
        <v>86.0</v>
      </c>
      <c r="B87" s="1">
        <v>1.230100001E9</v>
      </c>
      <c r="C87" s="1" t="s">
        <v>672</v>
      </c>
      <c r="D87" s="1" t="s">
        <v>673</v>
      </c>
      <c r="E87" s="1" t="s">
        <v>671</v>
      </c>
      <c r="F87" s="36">
        <v>45565.0</v>
      </c>
      <c r="G87" s="1">
        <v>2.0</v>
      </c>
      <c r="H87" s="8" t="str">
        <f t="shared" si="1"/>
        <v>1999</v>
      </c>
      <c r="I87" s="8" t="str">
        <f t="shared" si="2"/>
        <v>10</v>
      </c>
      <c r="J87" s="8" t="str">
        <f t="shared" si="3"/>
        <v>14</v>
      </c>
      <c r="K87" s="37">
        <f t="shared" si="4"/>
        <v>36447</v>
      </c>
      <c r="L87" s="37">
        <f t="shared" si="5"/>
        <v>45944</v>
      </c>
    </row>
    <row r="88">
      <c r="A88" s="1">
        <v>87.0</v>
      </c>
      <c r="B88" s="1">
        <v>5.31100001E8</v>
      </c>
      <c r="C88" s="1" t="s">
        <v>674</v>
      </c>
      <c r="D88" s="1" t="s">
        <v>675</v>
      </c>
      <c r="E88" s="1" t="s">
        <v>671</v>
      </c>
      <c r="F88" s="36">
        <v>45565.0</v>
      </c>
      <c r="G88" s="1">
        <v>2.0</v>
      </c>
      <c r="H88" s="8" t="str">
        <f t="shared" si="1"/>
        <v>2000</v>
      </c>
      <c r="I88" s="8" t="str">
        <f t="shared" si="2"/>
        <v>03</v>
      </c>
      <c r="J88" s="8" t="str">
        <f t="shared" si="3"/>
        <v>09</v>
      </c>
      <c r="K88" s="37">
        <f t="shared" si="4"/>
        <v>36594</v>
      </c>
      <c r="L88" s="37">
        <f t="shared" si="5"/>
        <v>45725</v>
      </c>
    </row>
    <row r="89">
      <c r="A89" s="1">
        <v>88.0</v>
      </c>
      <c r="B89" s="1">
        <v>1.230200002E9</v>
      </c>
      <c r="C89" s="1" t="s">
        <v>676</v>
      </c>
      <c r="D89" s="1" t="s">
        <v>677</v>
      </c>
      <c r="E89" s="1" t="s">
        <v>671</v>
      </c>
      <c r="F89" s="36">
        <v>45565.0</v>
      </c>
      <c r="G89" s="1">
        <v>2.0</v>
      </c>
      <c r="H89" s="8" t="str">
        <f t="shared" si="1"/>
        <v>2000</v>
      </c>
      <c r="I89" s="8" t="str">
        <f t="shared" si="2"/>
        <v>04</v>
      </c>
      <c r="J89" s="8" t="str">
        <f t="shared" si="3"/>
        <v>10</v>
      </c>
      <c r="K89" s="37">
        <f t="shared" si="4"/>
        <v>36626</v>
      </c>
      <c r="L89" s="37">
        <f t="shared" si="5"/>
        <v>45757</v>
      </c>
    </row>
    <row r="90">
      <c r="A90" s="1">
        <v>89.0</v>
      </c>
      <c r="B90" s="1">
        <v>1.230400001E9</v>
      </c>
      <c r="C90" s="1" t="s">
        <v>678</v>
      </c>
      <c r="D90" s="1" t="s">
        <v>679</v>
      </c>
      <c r="E90" s="1" t="s">
        <v>671</v>
      </c>
      <c r="F90" s="36">
        <v>45565.0</v>
      </c>
      <c r="G90" s="1">
        <v>2.0</v>
      </c>
      <c r="H90" s="8" t="str">
        <f t="shared" si="1"/>
        <v>2002</v>
      </c>
      <c r="I90" s="8" t="str">
        <f t="shared" si="2"/>
        <v>02</v>
      </c>
      <c r="J90" s="8" t="str">
        <f t="shared" si="3"/>
        <v>05</v>
      </c>
      <c r="K90" s="37">
        <f t="shared" si="4"/>
        <v>37292</v>
      </c>
      <c r="L90" s="37">
        <f t="shared" si="5"/>
        <v>45693</v>
      </c>
    </row>
    <row r="91">
      <c r="A91" s="1">
        <v>90.0</v>
      </c>
      <c r="B91" s="1">
        <v>5.31500002E8</v>
      </c>
      <c r="C91" s="1" t="s">
        <v>680</v>
      </c>
      <c r="D91" s="1" t="s">
        <v>681</v>
      </c>
      <c r="E91" s="1" t="s">
        <v>671</v>
      </c>
      <c r="F91" s="36">
        <v>45565.0</v>
      </c>
      <c r="G91" s="1">
        <v>2.0</v>
      </c>
      <c r="H91" s="8" t="str">
        <f t="shared" si="1"/>
        <v>2000</v>
      </c>
      <c r="I91" s="8" t="str">
        <f t="shared" si="2"/>
        <v>09</v>
      </c>
      <c r="J91" s="8" t="str">
        <f t="shared" si="3"/>
        <v>17</v>
      </c>
      <c r="K91" s="37">
        <f t="shared" si="4"/>
        <v>36786</v>
      </c>
      <c r="L91" s="37">
        <f t="shared" si="5"/>
        <v>45917</v>
      </c>
    </row>
    <row r="92">
      <c r="A92" s="1">
        <v>91.0</v>
      </c>
      <c r="B92" s="1">
        <v>5.31500001E8</v>
      </c>
      <c r="C92" s="1" t="s">
        <v>682</v>
      </c>
      <c r="D92" s="1" t="s">
        <v>683</v>
      </c>
      <c r="E92" s="1" t="s">
        <v>671</v>
      </c>
      <c r="F92" s="36">
        <v>45565.0</v>
      </c>
      <c r="G92" s="1">
        <v>2.0</v>
      </c>
      <c r="H92" s="8" t="str">
        <f t="shared" si="1"/>
        <v>2000</v>
      </c>
      <c r="I92" s="8" t="str">
        <f t="shared" si="2"/>
        <v>11</v>
      </c>
      <c r="J92" s="8" t="str">
        <f t="shared" si="3"/>
        <v>25</v>
      </c>
      <c r="K92" s="37">
        <f t="shared" si="4"/>
        <v>36855</v>
      </c>
      <c r="L92" s="37">
        <f t="shared" si="5"/>
        <v>45986</v>
      </c>
    </row>
    <row r="93">
      <c r="A93" s="1">
        <v>92.0</v>
      </c>
      <c r="B93" s="1">
        <v>1.230800001E9</v>
      </c>
      <c r="C93" s="1" t="s">
        <v>684</v>
      </c>
      <c r="D93" s="1" t="s">
        <v>685</v>
      </c>
      <c r="E93" s="1" t="s">
        <v>671</v>
      </c>
      <c r="F93" s="36">
        <v>45565.0</v>
      </c>
      <c r="G93" s="1">
        <v>2.0</v>
      </c>
      <c r="H93" s="8" t="str">
        <f t="shared" si="1"/>
        <v>2001</v>
      </c>
      <c r="I93" s="8" t="str">
        <f t="shared" si="2"/>
        <v>09</v>
      </c>
      <c r="J93" s="8" t="str">
        <f t="shared" si="3"/>
        <v>28</v>
      </c>
      <c r="K93" s="37">
        <f t="shared" si="4"/>
        <v>37162</v>
      </c>
      <c r="L93" s="37">
        <f t="shared" si="5"/>
        <v>45928</v>
      </c>
    </row>
    <row r="94">
      <c r="A94" s="1">
        <v>93.0</v>
      </c>
      <c r="B94" s="1">
        <v>1.230400002E9</v>
      </c>
      <c r="C94" s="1" t="s">
        <v>686</v>
      </c>
      <c r="D94" s="1" t="s">
        <v>687</v>
      </c>
      <c r="E94" s="1" t="s">
        <v>671</v>
      </c>
      <c r="F94" s="36">
        <v>45565.0</v>
      </c>
      <c r="G94" s="1">
        <v>2.0</v>
      </c>
      <c r="H94" s="8" t="str">
        <f t="shared" si="1"/>
        <v>2001</v>
      </c>
      <c r="I94" s="8" t="str">
        <f t="shared" si="2"/>
        <v>03</v>
      </c>
      <c r="J94" s="8" t="str">
        <f t="shared" si="3"/>
        <v>07</v>
      </c>
      <c r="K94" s="37">
        <f t="shared" si="4"/>
        <v>36957</v>
      </c>
      <c r="L94" s="37">
        <f t="shared" si="5"/>
        <v>45723</v>
      </c>
    </row>
    <row r="95">
      <c r="A95" s="1">
        <v>94.0</v>
      </c>
      <c r="B95" s="1">
        <v>1.230200001E9</v>
      </c>
      <c r="C95" s="1" t="s">
        <v>688</v>
      </c>
      <c r="D95" s="1" t="s">
        <v>689</v>
      </c>
      <c r="E95" s="1" t="s">
        <v>671</v>
      </c>
      <c r="F95" s="36">
        <v>45565.0</v>
      </c>
      <c r="G95" s="1">
        <v>2.0</v>
      </c>
      <c r="H95" s="8" t="str">
        <f t="shared" si="1"/>
        <v>2001</v>
      </c>
      <c r="I95" s="8" t="str">
        <f t="shared" si="2"/>
        <v>06</v>
      </c>
      <c r="J95" s="8" t="str">
        <f t="shared" si="3"/>
        <v>16</v>
      </c>
      <c r="K95" s="37">
        <f t="shared" si="4"/>
        <v>37058</v>
      </c>
      <c r="L95" s="37">
        <f t="shared" si="5"/>
        <v>45824</v>
      </c>
    </row>
    <row r="96">
      <c r="A96" s="1">
        <v>95.0</v>
      </c>
      <c r="B96" s="1">
        <v>1.230400004E9</v>
      </c>
      <c r="C96" s="1" t="s">
        <v>690</v>
      </c>
      <c r="D96" s="1" t="s">
        <v>691</v>
      </c>
      <c r="E96" s="1" t="s">
        <v>671</v>
      </c>
      <c r="F96" s="36">
        <v>45565.0</v>
      </c>
      <c r="G96" s="1">
        <v>2.0</v>
      </c>
      <c r="H96" s="8" t="str">
        <f t="shared" si="1"/>
        <v>2000</v>
      </c>
      <c r="I96" s="8" t="str">
        <f t="shared" si="2"/>
        <v>05</v>
      </c>
      <c r="J96" s="8" t="str">
        <f t="shared" si="3"/>
        <v>22</v>
      </c>
      <c r="K96" s="37">
        <f t="shared" si="4"/>
        <v>36668</v>
      </c>
      <c r="L96" s="37">
        <f t="shared" si="5"/>
        <v>45799</v>
      </c>
    </row>
    <row r="97">
      <c r="A97" s="1">
        <v>96.0</v>
      </c>
      <c r="B97" s="1">
        <v>1.231000001E9</v>
      </c>
      <c r="C97" s="1" t="s">
        <v>692</v>
      </c>
      <c r="D97" s="1" t="s">
        <v>693</v>
      </c>
      <c r="E97" s="1" t="s">
        <v>671</v>
      </c>
      <c r="F97" s="36">
        <v>45565.0</v>
      </c>
      <c r="G97" s="1">
        <v>2.0</v>
      </c>
      <c r="H97" s="8" t="str">
        <f t="shared" si="1"/>
        <v>2000</v>
      </c>
      <c r="I97" s="8" t="str">
        <f t="shared" si="2"/>
        <v>03</v>
      </c>
      <c r="J97" s="8" t="str">
        <f t="shared" si="3"/>
        <v>11</v>
      </c>
      <c r="K97" s="37">
        <f t="shared" si="4"/>
        <v>36596</v>
      </c>
      <c r="L97" s="37">
        <f t="shared" si="5"/>
        <v>45727</v>
      </c>
    </row>
    <row r="98">
      <c r="A98" s="1">
        <v>97.0</v>
      </c>
      <c r="B98" s="1">
        <v>1.230300001E9</v>
      </c>
      <c r="C98" s="1" t="s">
        <v>694</v>
      </c>
      <c r="D98" s="1" t="s">
        <v>695</v>
      </c>
      <c r="E98" s="1" t="s">
        <v>671</v>
      </c>
      <c r="F98" s="36">
        <v>45565.0</v>
      </c>
      <c r="G98" s="1">
        <v>2.0</v>
      </c>
      <c r="H98" s="8" t="str">
        <f t="shared" si="1"/>
        <v>2001</v>
      </c>
      <c r="I98" s="8" t="str">
        <f t="shared" si="2"/>
        <v>01</v>
      </c>
      <c r="J98" s="8" t="str">
        <f t="shared" si="3"/>
        <v>20</v>
      </c>
      <c r="K98" s="37">
        <f t="shared" si="4"/>
        <v>36911</v>
      </c>
      <c r="L98" s="37">
        <f t="shared" si="5"/>
        <v>45677</v>
      </c>
    </row>
    <row r="99">
      <c r="A99" s="1">
        <v>98.0</v>
      </c>
      <c r="B99" s="1">
        <v>5.30200002E8</v>
      </c>
      <c r="C99" s="1" t="s">
        <v>696</v>
      </c>
      <c r="D99" s="1" t="s">
        <v>697</v>
      </c>
      <c r="E99" s="1" t="s">
        <v>671</v>
      </c>
      <c r="F99" s="36">
        <v>45565.0</v>
      </c>
      <c r="G99" s="1">
        <v>2.0</v>
      </c>
      <c r="H99" s="8" t="str">
        <f t="shared" si="1"/>
        <v>2000</v>
      </c>
      <c r="I99" s="8" t="str">
        <f t="shared" si="2"/>
        <v>10</v>
      </c>
      <c r="J99" s="8" t="str">
        <f t="shared" si="3"/>
        <v>29</v>
      </c>
      <c r="K99" s="37">
        <f t="shared" si="4"/>
        <v>36828</v>
      </c>
      <c r="L99" s="37">
        <f t="shared" si="5"/>
        <v>45959</v>
      </c>
    </row>
    <row r="100">
      <c r="A100" s="1">
        <v>99.0</v>
      </c>
      <c r="B100" s="1">
        <v>9.30100066E8</v>
      </c>
      <c r="C100" s="1" t="s">
        <v>698</v>
      </c>
      <c r="D100" s="1" t="s">
        <v>699</v>
      </c>
      <c r="E100" s="1" t="s">
        <v>700</v>
      </c>
      <c r="F100" s="36">
        <v>45565.0</v>
      </c>
      <c r="G100" s="1">
        <v>2.0</v>
      </c>
      <c r="H100" s="8" t="str">
        <f t="shared" si="1"/>
        <v>2000</v>
      </c>
      <c r="I100" s="8" t="str">
        <f t="shared" si="2"/>
        <v>11</v>
      </c>
      <c r="J100" s="8" t="str">
        <f t="shared" si="3"/>
        <v>17</v>
      </c>
      <c r="K100" s="37">
        <f t="shared" si="4"/>
        <v>36847</v>
      </c>
      <c r="L100" s="37">
        <f t="shared" si="5"/>
        <v>45978</v>
      </c>
    </row>
    <row r="101">
      <c r="A101" s="1">
        <v>100.0</v>
      </c>
      <c r="B101" s="1">
        <v>9.30400002E8</v>
      </c>
      <c r="C101" s="1" t="s">
        <v>701</v>
      </c>
      <c r="D101" s="1" t="s">
        <v>702</v>
      </c>
      <c r="E101" s="1" t="s">
        <v>700</v>
      </c>
      <c r="F101" s="36">
        <v>45565.0</v>
      </c>
      <c r="G101" s="1">
        <v>2.0</v>
      </c>
      <c r="H101" s="8" t="str">
        <f t="shared" si="1"/>
        <v>2000</v>
      </c>
      <c r="I101" s="8" t="str">
        <f t="shared" si="2"/>
        <v>08</v>
      </c>
      <c r="J101" s="8" t="str">
        <f t="shared" si="3"/>
        <v>11</v>
      </c>
      <c r="K101" s="37">
        <f t="shared" si="4"/>
        <v>36749</v>
      </c>
      <c r="L101" s="37">
        <f t="shared" si="5"/>
        <v>45880</v>
      </c>
    </row>
    <row r="102">
      <c r="A102" s="1">
        <v>101.0</v>
      </c>
      <c r="B102" s="1">
        <v>9.3010006E8</v>
      </c>
      <c r="C102" s="1" t="s">
        <v>703</v>
      </c>
      <c r="D102" s="1" t="s">
        <v>704</v>
      </c>
      <c r="E102" s="1" t="s">
        <v>700</v>
      </c>
      <c r="F102" s="36">
        <v>45565.0</v>
      </c>
      <c r="G102" s="1">
        <v>2.0</v>
      </c>
      <c r="H102" s="8" t="str">
        <f t="shared" si="1"/>
        <v>2000</v>
      </c>
      <c r="I102" s="8" t="str">
        <f t="shared" si="2"/>
        <v>04</v>
      </c>
      <c r="J102" s="8" t="str">
        <f t="shared" si="3"/>
        <v>15</v>
      </c>
      <c r="K102" s="37">
        <f t="shared" si="4"/>
        <v>36631</v>
      </c>
      <c r="L102" s="37">
        <f t="shared" si="5"/>
        <v>45762</v>
      </c>
    </row>
    <row r="103">
      <c r="A103" s="1">
        <v>102.0</v>
      </c>
      <c r="B103" s="1">
        <v>9.30100042E8</v>
      </c>
      <c r="C103" s="1" t="s">
        <v>705</v>
      </c>
      <c r="D103" s="1" t="s">
        <v>706</v>
      </c>
      <c r="E103" s="1" t="s">
        <v>700</v>
      </c>
      <c r="F103" s="36">
        <v>45565.0</v>
      </c>
      <c r="G103" s="1">
        <v>2.0</v>
      </c>
      <c r="H103" s="8" t="str">
        <f t="shared" si="1"/>
        <v>2000</v>
      </c>
      <c r="I103" s="8" t="str">
        <f t="shared" si="2"/>
        <v>07</v>
      </c>
      <c r="J103" s="8" t="str">
        <f t="shared" si="3"/>
        <v>10</v>
      </c>
      <c r="K103" s="37">
        <f t="shared" si="4"/>
        <v>36717</v>
      </c>
      <c r="L103" s="37">
        <f t="shared" si="5"/>
        <v>45848</v>
      </c>
    </row>
    <row r="104">
      <c r="A104" s="1">
        <v>103.0</v>
      </c>
      <c r="B104" s="1">
        <v>9.30100061E8</v>
      </c>
      <c r="C104" s="1" t="s">
        <v>707</v>
      </c>
      <c r="D104" s="1" t="s">
        <v>708</v>
      </c>
      <c r="E104" s="1" t="s">
        <v>700</v>
      </c>
      <c r="F104" s="36">
        <v>45565.0</v>
      </c>
      <c r="G104" s="1">
        <v>2.0</v>
      </c>
      <c r="H104" s="8" t="str">
        <f t="shared" si="1"/>
        <v>2001</v>
      </c>
      <c r="I104" s="8" t="str">
        <f t="shared" si="2"/>
        <v>05</v>
      </c>
      <c r="J104" s="8" t="str">
        <f t="shared" si="3"/>
        <v>03</v>
      </c>
      <c r="K104" s="37">
        <f t="shared" si="4"/>
        <v>37014</v>
      </c>
      <c r="L104" s="37">
        <f t="shared" si="5"/>
        <v>45780</v>
      </c>
    </row>
    <row r="105">
      <c r="A105" s="1">
        <v>104.0</v>
      </c>
      <c r="B105" s="1">
        <v>9.30100033E8</v>
      </c>
      <c r="C105" s="1" t="s">
        <v>197</v>
      </c>
      <c r="D105" s="1" t="s">
        <v>709</v>
      </c>
      <c r="E105" s="1" t="s">
        <v>700</v>
      </c>
      <c r="F105" s="36">
        <v>45565.0</v>
      </c>
      <c r="G105" s="1">
        <v>2.0</v>
      </c>
      <c r="H105" s="8" t="str">
        <f t="shared" si="1"/>
        <v>2000</v>
      </c>
      <c r="I105" s="8" t="str">
        <f t="shared" si="2"/>
        <v>05</v>
      </c>
      <c r="J105" s="8" t="str">
        <f t="shared" si="3"/>
        <v>20</v>
      </c>
      <c r="K105" s="37">
        <f t="shared" si="4"/>
        <v>36666</v>
      </c>
      <c r="L105" s="37">
        <f t="shared" si="5"/>
        <v>45797</v>
      </c>
    </row>
    <row r="106">
      <c r="A106" s="1">
        <v>105.0</v>
      </c>
      <c r="B106" s="1">
        <v>9.30200001E8</v>
      </c>
      <c r="C106" s="1" t="s">
        <v>710</v>
      </c>
      <c r="D106" s="1" t="s">
        <v>711</v>
      </c>
      <c r="E106" s="1" t="s">
        <v>700</v>
      </c>
      <c r="F106" s="36">
        <v>45565.0</v>
      </c>
      <c r="G106" s="1">
        <v>2.0</v>
      </c>
      <c r="H106" s="8" t="str">
        <f t="shared" si="1"/>
        <v>1999</v>
      </c>
      <c r="I106" s="8" t="str">
        <f t="shared" si="2"/>
        <v>12</v>
      </c>
      <c r="J106" s="8" t="str">
        <f t="shared" si="3"/>
        <v>12</v>
      </c>
      <c r="K106" s="37">
        <f t="shared" si="4"/>
        <v>36506</v>
      </c>
      <c r="L106" s="37">
        <f t="shared" si="5"/>
        <v>46003</v>
      </c>
    </row>
    <row r="107">
      <c r="A107" s="1">
        <v>106.0</v>
      </c>
      <c r="B107" s="1">
        <v>9.30100028E8</v>
      </c>
      <c r="C107" s="1" t="s">
        <v>712</v>
      </c>
      <c r="D107" s="1" t="s">
        <v>713</v>
      </c>
      <c r="E107" s="1" t="s">
        <v>700</v>
      </c>
      <c r="F107" s="36">
        <v>45565.0</v>
      </c>
      <c r="G107" s="1">
        <v>2.0</v>
      </c>
      <c r="H107" s="8" t="str">
        <f t="shared" si="1"/>
        <v>2000</v>
      </c>
      <c r="I107" s="8" t="str">
        <f t="shared" si="2"/>
        <v>06</v>
      </c>
      <c r="J107" s="8" t="str">
        <f t="shared" si="3"/>
        <v>17</v>
      </c>
      <c r="K107" s="37">
        <f t="shared" si="4"/>
        <v>36694</v>
      </c>
      <c r="L107" s="37">
        <f t="shared" si="5"/>
        <v>45825</v>
      </c>
    </row>
    <row r="108">
      <c r="A108" s="1">
        <v>107.0</v>
      </c>
      <c r="B108" s="1">
        <v>9.30100043E8</v>
      </c>
      <c r="C108" s="1" t="s">
        <v>714</v>
      </c>
      <c r="D108" s="1" t="s">
        <v>715</v>
      </c>
      <c r="E108" s="1" t="s">
        <v>700</v>
      </c>
      <c r="F108" s="36">
        <v>45565.0</v>
      </c>
      <c r="G108" s="1">
        <v>2.0</v>
      </c>
      <c r="H108" s="8" t="str">
        <f t="shared" si="1"/>
        <v>2000</v>
      </c>
      <c r="I108" s="8" t="str">
        <f t="shared" si="2"/>
        <v>04</v>
      </c>
      <c r="J108" s="8" t="str">
        <f t="shared" si="3"/>
        <v>10</v>
      </c>
      <c r="K108" s="37">
        <f t="shared" si="4"/>
        <v>36626</v>
      </c>
      <c r="L108" s="37">
        <f t="shared" si="5"/>
        <v>45757</v>
      </c>
    </row>
    <row r="109">
      <c r="A109" s="1">
        <v>108.0</v>
      </c>
      <c r="B109" s="1">
        <v>9.30100044E8</v>
      </c>
      <c r="C109" s="1" t="s">
        <v>109</v>
      </c>
      <c r="D109" s="1" t="s">
        <v>716</v>
      </c>
      <c r="E109" s="1" t="s">
        <v>717</v>
      </c>
      <c r="F109" s="36">
        <v>45565.0</v>
      </c>
      <c r="G109" s="1">
        <v>2.0</v>
      </c>
      <c r="H109" s="8" t="str">
        <f t="shared" si="1"/>
        <v>2000</v>
      </c>
      <c r="I109" s="8" t="str">
        <f t="shared" si="2"/>
        <v>08</v>
      </c>
      <c r="J109" s="8" t="str">
        <f t="shared" si="3"/>
        <v>23</v>
      </c>
      <c r="K109" s="37">
        <f t="shared" si="4"/>
        <v>36761</v>
      </c>
      <c r="L109" s="37">
        <f t="shared" si="5"/>
        <v>45892</v>
      </c>
    </row>
    <row r="110">
      <c r="A110" s="1">
        <v>109.0</v>
      </c>
      <c r="B110" s="1">
        <v>9.30100025E8</v>
      </c>
      <c r="C110" s="1" t="s">
        <v>718</v>
      </c>
      <c r="D110" s="1" t="s">
        <v>719</v>
      </c>
      <c r="E110" s="1" t="s">
        <v>700</v>
      </c>
      <c r="F110" s="36">
        <v>45565.0</v>
      </c>
      <c r="G110" s="1">
        <v>2.0</v>
      </c>
      <c r="H110" s="8" t="str">
        <f t="shared" si="1"/>
        <v>2000</v>
      </c>
      <c r="I110" s="8" t="str">
        <f t="shared" si="2"/>
        <v>05</v>
      </c>
      <c r="J110" s="8" t="str">
        <f t="shared" si="3"/>
        <v>25</v>
      </c>
      <c r="K110" s="37">
        <f t="shared" si="4"/>
        <v>36671</v>
      </c>
      <c r="L110" s="37">
        <f t="shared" si="5"/>
        <v>45802</v>
      </c>
    </row>
    <row r="111">
      <c r="A111" s="1">
        <v>110.0</v>
      </c>
      <c r="B111" s="1">
        <v>9.30100058E8</v>
      </c>
      <c r="C111" s="1" t="s">
        <v>720</v>
      </c>
      <c r="D111" s="1" t="s">
        <v>721</v>
      </c>
      <c r="E111" s="1" t="s">
        <v>717</v>
      </c>
      <c r="F111" s="36">
        <v>45565.0</v>
      </c>
      <c r="G111" s="1">
        <v>2.0</v>
      </c>
      <c r="H111" s="8" t="str">
        <f t="shared" si="1"/>
        <v>2000</v>
      </c>
      <c r="I111" s="8" t="str">
        <f t="shared" si="2"/>
        <v>02</v>
      </c>
      <c r="J111" s="8" t="str">
        <f t="shared" si="3"/>
        <v>23</v>
      </c>
      <c r="K111" s="37">
        <f t="shared" si="4"/>
        <v>36579</v>
      </c>
      <c r="L111" s="37">
        <f t="shared" si="5"/>
        <v>45711</v>
      </c>
    </row>
    <row r="112">
      <c r="A112" s="1">
        <v>111.0</v>
      </c>
      <c r="B112" s="1">
        <v>9.30700002E8</v>
      </c>
      <c r="C112" s="1" t="s">
        <v>722</v>
      </c>
      <c r="D112" s="1" t="s">
        <v>723</v>
      </c>
      <c r="E112" s="1" t="s">
        <v>700</v>
      </c>
      <c r="F112" s="36">
        <v>45565.0</v>
      </c>
      <c r="G112" s="1">
        <v>2.0</v>
      </c>
      <c r="H112" s="8" t="str">
        <f t="shared" si="1"/>
        <v>2000</v>
      </c>
      <c r="I112" s="8" t="str">
        <f t="shared" si="2"/>
        <v>08</v>
      </c>
      <c r="J112" s="8" t="str">
        <f t="shared" si="3"/>
        <v>25</v>
      </c>
      <c r="K112" s="37">
        <f t="shared" si="4"/>
        <v>36763</v>
      </c>
      <c r="L112" s="37">
        <f t="shared" si="5"/>
        <v>45894</v>
      </c>
    </row>
    <row r="113">
      <c r="A113" s="1">
        <v>112.0</v>
      </c>
      <c r="B113" s="1">
        <v>2.31100007E8</v>
      </c>
      <c r="C113" s="1" t="s">
        <v>392</v>
      </c>
      <c r="D113" s="1" t="s">
        <v>724</v>
      </c>
      <c r="E113" s="1" t="s">
        <v>717</v>
      </c>
      <c r="F113" s="36">
        <v>45565.0</v>
      </c>
      <c r="G113" s="1">
        <v>2.0</v>
      </c>
      <c r="H113" s="8" t="str">
        <f t="shared" si="1"/>
        <v>2000</v>
      </c>
      <c r="I113" s="8" t="str">
        <f t="shared" si="2"/>
        <v>03</v>
      </c>
      <c r="J113" s="8" t="str">
        <f t="shared" si="3"/>
        <v>24</v>
      </c>
      <c r="K113" s="37">
        <f t="shared" si="4"/>
        <v>36609</v>
      </c>
      <c r="L113" s="37">
        <f t="shared" si="5"/>
        <v>45740</v>
      </c>
    </row>
    <row r="114">
      <c r="A114" s="1">
        <v>113.0</v>
      </c>
      <c r="B114" s="1">
        <v>9.31100002E8</v>
      </c>
      <c r="C114" s="1" t="s">
        <v>725</v>
      </c>
      <c r="D114" s="1" t="s">
        <v>726</v>
      </c>
      <c r="E114" s="1" t="s">
        <v>700</v>
      </c>
      <c r="F114" s="36">
        <v>45565.0</v>
      </c>
      <c r="G114" s="1">
        <v>2.0</v>
      </c>
      <c r="H114" s="8" t="str">
        <f t="shared" si="1"/>
        <v>2001</v>
      </c>
      <c r="I114" s="8" t="str">
        <f t="shared" si="2"/>
        <v>02</v>
      </c>
      <c r="J114" s="8" t="str">
        <f t="shared" si="3"/>
        <v>02</v>
      </c>
      <c r="K114" s="37">
        <f t="shared" si="4"/>
        <v>36924</v>
      </c>
      <c r="L114" s="37">
        <f t="shared" si="5"/>
        <v>45690</v>
      </c>
    </row>
    <row r="115">
      <c r="A115" s="1">
        <v>114.0</v>
      </c>
      <c r="B115" s="1">
        <v>9.30100004E8</v>
      </c>
      <c r="C115" s="1" t="s">
        <v>727</v>
      </c>
      <c r="D115" s="1" t="s">
        <v>728</v>
      </c>
      <c r="E115" s="1" t="s">
        <v>717</v>
      </c>
      <c r="F115" s="36">
        <v>45565.0</v>
      </c>
      <c r="G115" s="1">
        <v>2.0</v>
      </c>
      <c r="H115" s="8" t="str">
        <f t="shared" si="1"/>
        <v>2001</v>
      </c>
      <c r="I115" s="8" t="str">
        <f t="shared" si="2"/>
        <v>01</v>
      </c>
      <c r="J115" s="8" t="str">
        <f t="shared" si="3"/>
        <v>09</v>
      </c>
      <c r="K115" s="37">
        <f t="shared" si="4"/>
        <v>36900</v>
      </c>
      <c r="L115" s="37">
        <f t="shared" si="5"/>
        <v>45666</v>
      </c>
    </row>
    <row r="116">
      <c r="A116" s="1">
        <v>115.0</v>
      </c>
      <c r="B116" s="1">
        <v>9.30100029E8</v>
      </c>
      <c r="C116" s="1" t="s">
        <v>729</v>
      </c>
      <c r="D116" s="1" t="s">
        <v>730</v>
      </c>
      <c r="E116" s="1" t="s">
        <v>700</v>
      </c>
      <c r="F116" s="36">
        <v>45565.0</v>
      </c>
      <c r="G116" s="1">
        <v>2.0</v>
      </c>
      <c r="H116" s="8" t="str">
        <f t="shared" si="1"/>
        <v>2000</v>
      </c>
      <c r="I116" s="8" t="str">
        <f t="shared" si="2"/>
        <v>04</v>
      </c>
      <c r="J116" s="8" t="str">
        <f t="shared" si="3"/>
        <v>11</v>
      </c>
      <c r="K116" s="37">
        <f t="shared" si="4"/>
        <v>36627</v>
      </c>
      <c r="L116" s="37">
        <f t="shared" si="5"/>
        <v>45758</v>
      </c>
    </row>
    <row r="117">
      <c r="A117" s="1">
        <v>116.0</v>
      </c>
      <c r="B117" s="1">
        <v>2.31000005E8</v>
      </c>
      <c r="C117" s="1" t="s">
        <v>731</v>
      </c>
      <c r="D117" s="1" t="s">
        <v>732</v>
      </c>
      <c r="E117" s="1" t="s">
        <v>717</v>
      </c>
      <c r="F117" s="36">
        <v>45565.0</v>
      </c>
      <c r="G117" s="1">
        <v>2.0</v>
      </c>
      <c r="H117" s="8" t="str">
        <f t="shared" si="1"/>
        <v>2000</v>
      </c>
      <c r="I117" s="8" t="str">
        <f t="shared" si="2"/>
        <v>08</v>
      </c>
      <c r="J117" s="8" t="str">
        <f t="shared" si="3"/>
        <v>04</v>
      </c>
      <c r="K117" s="37">
        <f t="shared" si="4"/>
        <v>36742</v>
      </c>
      <c r="L117" s="37">
        <f t="shared" si="5"/>
        <v>45873</v>
      </c>
    </row>
    <row r="118">
      <c r="A118" s="1">
        <v>117.0</v>
      </c>
      <c r="B118" s="1">
        <v>2.30100004E8</v>
      </c>
      <c r="C118" s="1" t="s">
        <v>393</v>
      </c>
      <c r="D118" s="1" t="s">
        <v>733</v>
      </c>
      <c r="E118" s="1" t="s">
        <v>700</v>
      </c>
      <c r="F118" s="36">
        <v>45565.0</v>
      </c>
      <c r="G118" s="1">
        <v>2.0</v>
      </c>
      <c r="H118" s="8" t="str">
        <f t="shared" si="1"/>
        <v>2000</v>
      </c>
      <c r="I118" s="8" t="str">
        <f t="shared" si="2"/>
        <v>05</v>
      </c>
      <c r="J118" s="8" t="str">
        <f t="shared" si="3"/>
        <v>24</v>
      </c>
      <c r="K118" s="37">
        <f t="shared" si="4"/>
        <v>36670</v>
      </c>
      <c r="L118" s="37">
        <f t="shared" si="5"/>
        <v>45801</v>
      </c>
    </row>
    <row r="119">
      <c r="A119" s="1">
        <v>118.0</v>
      </c>
      <c r="B119" s="1">
        <v>2.31600003E8</v>
      </c>
      <c r="C119" s="1" t="s">
        <v>734</v>
      </c>
      <c r="D119" s="1" t="s">
        <v>735</v>
      </c>
      <c r="E119" s="1" t="s">
        <v>700</v>
      </c>
      <c r="F119" s="36">
        <v>45565.0</v>
      </c>
      <c r="G119" s="1">
        <v>2.0</v>
      </c>
      <c r="H119" s="8" t="str">
        <f t="shared" si="1"/>
        <v>2000</v>
      </c>
      <c r="I119" s="8" t="str">
        <f t="shared" si="2"/>
        <v>06</v>
      </c>
      <c r="J119" s="8" t="str">
        <f t="shared" si="3"/>
        <v>05</v>
      </c>
      <c r="K119" s="37">
        <f t="shared" si="4"/>
        <v>36682</v>
      </c>
      <c r="L119" s="37">
        <f t="shared" si="5"/>
        <v>45813</v>
      </c>
    </row>
    <row r="120">
      <c r="A120" s="1">
        <v>119.0</v>
      </c>
      <c r="B120" s="1">
        <v>9.30100052E8</v>
      </c>
      <c r="C120" s="1" t="s">
        <v>736</v>
      </c>
      <c r="D120" s="1" t="s">
        <v>737</v>
      </c>
      <c r="E120" s="1" t="s">
        <v>700</v>
      </c>
      <c r="F120" s="36">
        <v>45565.0</v>
      </c>
      <c r="G120" s="1">
        <v>2.0</v>
      </c>
      <c r="H120" s="8" t="str">
        <f t="shared" si="1"/>
        <v>1999</v>
      </c>
      <c r="I120" s="8" t="str">
        <f t="shared" si="2"/>
        <v>10</v>
      </c>
      <c r="J120" s="8" t="str">
        <f t="shared" si="3"/>
        <v>14</v>
      </c>
      <c r="K120" s="37">
        <f t="shared" si="4"/>
        <v>36447</v>
      </c>
      <c r="L120" s="37">
        <f t="shared" si="5"/>
        <v>45944</v>
      </c>
    </row>
    <row r="121">
      <c r="A121" s="1">
        <v>120.0</v>
      </c>
      <c r="B121" s="1">
        <v>9.30100002E8</v>
      </c>
      <c r="C121" s="1" t="s">
        <v>398</v>
      </c>
      <c r="D121" s="1" t="s">
        <v>738</v>
      </c>
      <c r="E121" s="1" t="s">
        <v>700</v>
      </c>
      <c r="F121" s="36">
        <v>45565.0</v>
      </c>
      <c r="G121" s="1">
        <v>2.0</v>
      </c>
      <c r="H121" s="8" t="str">
        <f t="shared" si="1"/>
        <v>1999</v>
      </c>
      <c r="I121" s="8" t="str">
        <f t="shared" si="2"/>
        <v>11</v>
      </c>
      <c r="J121" s="8" t="str">
        <f t="shared" si="3"/>
        <v>23</v>
      </c>
      <c r="K121" s="37">
        <f t="shared" si="4"/>
        <v>36487</v>
      </c>
      <c r="L121" s="37">
        <f t="shared" si="5"/>
        <v>45984</v>
      </c>
    </row>
    <row r="122">
      <c r="A122" s="1">
        <v>121.0</v>
      </c>
      <c r="B122" s="1">
        <v>9.30600004E8</v>
      </c>
      <c r="C122" s="1" t="s">
        <v>739</v>
      </c>
      <c r="D122" s="1" t="s">
        <v>740</v>
      </c>
      <c r="E122" s="1" t="s">
        <v>700</v>
      </c>
      <c r="F122" s="36">
        <v>45565.0</v>
      </c>
      <c r="G122" s="1">
        <v>2.0</v>
      </c>
      <c r="H122" s="8" t="str">
        <f t="shared" si="1"/>
        <v>2000</v>
      </c>
      <c r="I122" s="8" t="str">
        <f t="shared" si="2"/>
        <v>02</v>
      </c>
      <c r="J122" s="8" t="str">
        <f t="shared" si="3"/>
        <v>06</v>
      </c>
      <c r="K122" s="37">
        <f t="shared" si="4"/>
        <v>36562</v>
      </c>
      <c r="L122" s="37">
        <f t="shared" si="5"/>
        <v>45694</v>
      </c>
    </row>
    <row r="123">
      <c r="A123" s="1">
        <v>122.0</v>
      </c>
      <c r="B123" s="1">
        <v>9.30400001E8</v>
      </c>
      <c r="C123" s="1" t="s">
        <v>741</v>
      </c>
      <c r="D123" s="1" t="s">
        <v>742</v>
      </c>
      <c r="E123" s="1" t="s">
        <v>700</v>
      </c>
      <c r="F123" s="36">
        <v>45565.0</v>
      </c>
      <c r="G123" s="1">
        <v>2.0</v>
      </c>
      <c r="H123" s="8" t="str">
        <f t="shared" si="1"/>
        <v>2000</v>
      </c>
      <c r="I123" s="8" t="str">
        <f t="shared" si="2"/>
        <v>07</v>
      </c>
      <c r="J123" s="8" t="str">
        <f t="shared" si="3"/>
        <v>24</v>
      </c>
      <c r="K123" s="37">
        <f t="shared" si="4"/>
        <v>36731</v>
      </c>
      <c r="L123" s="37">
        <f t="shared" si="5"/>
        <v>45862</v>
      </c>
    </row>
    <row r="124">
      <c r="A124" s="1">
        <v>123.0</v>
      </c>
      <c r="B124" s="1">
        <v>9.30100013E8</v>
      </c>
      <c r="C124" s="1" t="s">
        <v>743</v>
      </c>
      <c r="D124" s="1" t="s">
        <v>744</v>
      </c>
      <c r="E124" s="1" t="s">
        <v>745</v>
      </c>
      <c r="F124" s="36">
        <v>45565.0</v>
      </c>
      <c r="G124" s="1">
        <v>2.0</v>
      </c>
      <c r="H124" s="8" t="str">
        <f t="shared" si="1"/>
        <v>1999</v>
      </c>
      <c r="I124" s="8" t="str">
        <f t="shared" si="2"/>
        <v>11</v>
      </c>
      <c r="J124" s="8" t="str">
        <f t="shared" si="3"/>
        <v>02</v>
      </c>
      <c r="K124" s="37">
        <f t="shared" si="4"/>
        <v>36466</v>
      </c>
      <c r="L124" s="37">
        <f t="shared" si="5"/>
        <v>45963</v>
      </c>
    </row>
    <row r="125">
      <c r="A125" s="1">
        <v>124.0</v>
      </c>
      <c r="B125" s="1">
        <v>2.30900005E8</v>
      </c>
      <c r="C125" s="1" t="s">
        <v>746</v>
      </c>
      <c r="D125" s="1" t="s">
        <v>747</v>
      </c>
      <c r="E125" s="1" t="s">
        <v>700</v>
      </c>
      <c r="F125" s="36">
        <v>45565.0</v>
      </c>
      <c r="G125" s="1">
        <v>2.0</v>
      </c>
      <c r="H125" s="8" t="str">
        <f t="shared" si="1"/>
        <v>2001</v>
      </c>
      <c r="I125" s="8" t="str">
        <f t="shared" si="2"/>
        <v>01</v>
      </c>
      <c r="J125" s="8" t="str">
        <f t="shared" si="3"/>
        <v>02</v>
      </c>
      <c r="K125" s="37">
        <f t="shared" si="4"/>
        <v>36893</v>
      </c>
      <c r="L125" s="37">
        <f t="shared" si="5"/>
        <v>45659</v>
      </c>
    </row>
    <row r="126">
      <c r="A126" s="1">
        <v>125.0</v>
      </c>
      <c r="B126" s="1">
        <v>9.30500003E8</v>
      </c>
      <c r="C126" s="1" t="s">
        <v>114</v>
      </c>
      <c r="D126" s="1" t="s">
        <v>748</v>
      </c>
      <c r="E126" s="1" t="s">
        <v>700</v>
      </c>
      <c r="F126" s="36">
        <v>45565.0</v>
      </c>
      <c r="G126" s="1">
        <v>2.0</v>
      </c>
      <c r="H126" s="8" t="str">
        <f t="shared" si="1"/>
        <v>2000</v>
      </c>
      <c r="I126" s="8" t="str">
        <f t="shared" si="2"/>
        <v>09</v>
      </c>
      <c r="J126" s="8" t="str">
        <f t="shared" si="3"/>
        <v>01</v>
      </c>
      <c r="K126" s="37">
        <f t="shared" si="4"/>
        <v>36770</v>
      </c>
      <c r="L126" s="37">
        <f t="shared" si="5"/>
        <v>45901</v>
      </c>
    </row>
    <row r="127">
      <c r="A127" s="1">
        <v>126.0</v>
      </c>
      <c r="B127" s="1">
        <v>9.30600007E8</v>
      </c>
      <c r="C127" s="1" t="s">
        <v>749</v>
      </c>
      <c r="D127" s="1" t="s">
        <v>750</v>
      </c>
      <c r="E127" s="1" t="s">
        <v>700</v>
      </c>
      <c r="F127" s="36">
        <v>45565.0</v>
      </c>
      <c r="G127" s="1">
        <v>2.0</v>
      </c>
      <c r="H127" s="8" t="str">
        <f t="shared" si="1"/>
        <v>1999</v>
      </c>
      <c r="I127" s="8" t="str">
        <f t="shared" si="2"/>
        <v>12</v>
      </c>
      <c r="J127" s="8" t="str">
        <f t="shared" si="3"/>
        <v>10</v>
      </c>
      <c r="K127" s="37">
        <f t="shared" si="4"/>
        <v>36504</v>
      </c>
      <c r="L127" s="37">
        <f t="shared" si="5"/>
        <v>46001</v>
      </c>
    </row>
    <row r="128">
      <c r="A128" s="1">
        <v>127.0</v>
      </c>
      <c r="B128" s="1">
        <v>9.30800001E8</v>
      </c>
      <c r="C128" s="1" t="s">
        <v>751</v>
      </c>
      <c r="D128" s="1" t="s">
        <v>752</v>
      </c>
      <c r="E128" s="1" t="s">
        <v>700</v>
      </c>
      <c r="F128" s="36">
        <v>45565.0</v>
      </c>
      <c r="G128" s="1">
        <v>2.0</v>
      </c>
      <c r="H128" s="8" t="str">
        <f t="shared" si="1"/>
        <v>2001</v>
      </c>
      <c r="I128" s="8" t="str">
        <f t="shared" si="2"/>
        <v>08</v>
      </c>
      <c r="J128" s="8" t="str">
        <f t="shared" si="3"/>
        <v>28</v>
      </c>
      <c r="K128" s="37">
        <f t="shared" si="4"/>
        <v>37131</v>
      </c>
      <c r="L128" s="37">
        <f t="shared" si="5"/>
        <v>45897</v>
      </c>
    </row>
    <row r="129">
      <c r="A129" s="1">
        <v>128.0</v>
      </c>
      <c r="B129" s="1">
        <v>9.30100078E8</v>
      </c>
      <c r="C129" s="1" t="s">
        <v>753</v>
      </c>
      <c r="D129" s="1" t="s">
        <v>754</v>
      </c>
      <c r="E129" s="1" t="s">
        <v>700</v>
      </c>
      <c r="F129" s="36">
        <v>45565.0</v>
      </c>
      <c r="G129" s="1">
        <v>2.0</v>
      </c>
      <c r="H129" s="8" t="str">
        <f t="shared" si="1"/>
        <v>2000</v>
      </c>
      <c r="I129" s="8" t="str">
        <f t="shared" si="2"/>
        <v>05</v>
      </c>
      <c r="J129" s="8" t="str">
        <f t="shared" si="3"/>
        <v>30</v>
      </c>
      <c r="K129" s="37">
        <f t="shared" si="4"/>
        <v>36676</v>
      </c>
      <c r="L129" s="37">
        <f t="shared" si="5"/>
        <v>45807</v>
      </c>
    </row>
    <row r="130">
      <c r="A130" s="1">
        <v>129.0</v>
      </c>
      <c r="B130" s="1">
        <v>2.31100005E8</v>
      </c>
      <c r="C130" s="1" t="s">
        <v>121</v>
      </c>
      <c r="D130" s="1" t="s">
        <v>755</v>
      </c>
      <c r="E130" s="1" t="s">
        <v>700</v>
      </c>
      <c r="F130" s="36">
        <v>45565.0</v>
      </c>
      <c r="G130" s="1">
        <v>2.0</v>
      </c>
      <c r="H130" s="8" t="str">
        <f t="shared" si="1"/>
        <v>2000</v>
      </c>
      <c r="I130" s="8" t="str">
        <f t="shared" si="2"/>
        <v>07</v>
      </c>
      <c r="J130" s="8" t="str">
        <f t="shared" si="3"/>
        <v>22</v>
      </c>
      <c r="K130" s="37">
        <f t="shared" si="4"/>
        <v>36729</v>
      </c>
      <c r="L130" s="37">
        <f t="shared" si="5"/>
        <v>45860</v>
      </c>
    </row>
    <row r="131">
      <c r="A131" s="1">
        <v>130.0</v>
      </c>
      <c r="B131" s="1">
        <v>9.30600002E8</v>
      </c>
      <c r="C131" s="1" t="s">
        <v>756</v>
      </c>
      <c r="D131" s="1" t="s">
        <v>757</v>
      </c>
      <c r="E131" s="1" t="s">
        <v>700</v>
      </c>
      <c r="F131" s="36">
        <v>45565.0</v>
      </c>
      <c r="G131" s="1">
        <v>2.0</v>
      </c>
      <c r="H131" s="8" t="str">
        <f t="shared" si="1"/>
        <v>2000</v>
      </c>
      <c r="I131" s="8" t="str">
        <f t="shared" si="2"/>
        <v>12</v>
      </c>
      <c r="J131" s="8" t="str">
        <f t="shared" si="3"/>
        <v>30</v>
      </c>
      <c r="K131" s="37">
        <f t="shared" si="4"/>
        <v>36890</v>
      </c>
      <c r="L131" s="37">
        <f t="shared" si="5"/>
        <v>46021</v>
      </c>
    </row>
    <row r="132">
      <c r="A132" s="1">
        <v>131.0</v>
      </c>
      <c r="B132" s="1">
        <v>9.30100069E8</v>
      </c>
      <c r="C132" s="1" t="s">
        <v>166</v>
      </c>
      <c r="D132" s="1" t="s">
        <v>758</v>
      </c>
      <c r="E132" s="1" t="s">
        <v>700</v>
      </c>
      <c r="F132" s="36">
        <v>45565.0</v>
      </c>
      <c r="G132" s="1">
        <v>2.0</v>
      </c>
      <c r="H132" s="8" t="str">
        <f t="shared" si="1"/>
        <v>2000</v>
      </c>
      <c r="I132" s="8" t="str">
        <f t="shared" si="2"/>
        <v>11</v>
      </c>
      <c r="J132" s="8" t="str">
        <f t="shared" si="3"/>
        <v>05</v>
      </c>
      <c r="K132" s="37">
        <f t="shared" si="4"/>
        <v>36835</v>
      </c>
      <c r="L132" s="37">
        <f t="shared" si="5"/>
        <v>45966</v>
      </c>
    </row>
    <row r="133">
      <c r="A133" s="1">
        <v>132.0</v>
      </c>
      <c r="B133" s="1">
        <v>9.30100068E8</v>
      </c>
      <c r="C133" s="1" t="s">
        <v>759</v>
      </c>
      <c r="D133" s="1" t="s">
        <v>760</v>
      </c>
      <c r="E133" s="1" t="s">
        <v>700</v>
      </c>
      <c r="F133" s="36">
        <v>45565.0</v>
      </c>
      <c r="G133" s="1">
        <v>2.0</v>
      </c>
      <c r="H133" s="8" t="str">
        <f t="shared" si="1"/>
        <v>2000</v>
      </c>
      <c r="I133" s="8" t="str">
        <f t="shared" si="2"/>
        <v>03</v>
      </c>
      <c r="J133" s="8" t="str">
        <f t="shared" si="3"/>
        <v>18</v>
      </c>
      <c r="K133" s="37">
        <f t="shared" si="4"/>
        <v>36603</v>
      </c>
      <c r="L133" s="37">
        <f t="shared" si="5"/>
        <v>45734</v>
      </c>
    </row>
    <row r="134">
      <c r="A134" s="1">
        <v>133.0</v>
      </c>
      <c r="B134" s="1">
        <v>9.30100057E8</v>
      </c>
      <c r="C134" s="1" t="s">
        <v>761</v>
      </c>
      <c r="D134" s="1" t="s">
        <v>762</v>
      </c>
      <c r="E134" s="1" t="s">
        <v>700</v>
      </c>
      <c r="F134" s="36">
        <v>45565.0</v>
      </c>
      <c r="G134" s="1">
        <v>2.0</v>
      </c>
      <c r="H134" s="8" t="str">
        <f t="shared" si="1"/>
        <v>2000</v>
      </c>
      <c r="I134" s="8" t="str">
        <f t="shared" si="2"/>
        <v>04</v>
      </c>
      <c r="J134" s="8" t="str">
        <f t="shared" si="3"/>
        <v>23</v>
      </c>
      <c r="K134" s="37">
        <f t="shared" si="4"/>
        <v>36639</v>
      </c>
      <c r="L134" s="37">
        <f t="shared" si="5"/>
        <v>45770</v>
      </c>
    </row>
    <row r="135">
      <c r="A135" s="1">
        <v>134.0</v>
      </c>
      <c r="B135" s="1">
        <v>9.30100034E8</v>
      </c>
      <c r="C135" s="1" t="s">
        <v>763</v>
      </c>
      <c r="D135" s="1" t="s">
        <v>764</v>
      </c>
      <c r="E135" s="1" t="s">
        <v>700</v>
      </c>
      <c r="F135" s="36">
        <v>45565.0</v>
      </c>
      <c r="G135" s="1">
        <v>2.0</v>
      </c>
      <c r="H135" s="8" t="str">
        <f t="shared" si="1"/>
        <v>2001</v>
      </c>
      <c r="I135" s="8" t="str">
        <f t="shared" si="2"/>
        <v>03</v>
      </c>
      <c r="J135" s="8" t="str">
        <f t="shared" si="3"/>
        <v>15</v>
      </c>
      <c r="K135" s="37">
        <f t="shared" si="4"/>
        <v>36965</v>
      </c>
      <c r="L135" s="37">
        <f t="shared" si="5"/>
        <v>45731</v>
      </c>
    </row>
    <row r="136">
      <c r="A136" s="1">
        <v>135.0</v>
      </c>
      <c r="B136" s="1">
        <v>9.30100001E8</v>
      </c>
      <c r="C136" s="1" t="s">
        <v>405</v>
      </c>
      <c r="D136" s="1" t="s">
        <v>765</v>
      </c>
      <c r="E136" s="1" t="s">
        <v>700</v>
      </c>
      <c r="F136" s="36">
        <v>45565.0</v>
      </c>
      <c r="G136" s="1">
        <v>2.0</v>
      </c>
      <c r="H136" s="8" t="str">
        <f t="shared" si="1"/>
        <v>2001</v>
      </c>
      <c r="I136" s="8" t="str">
        <f t="shared" si="2"/>
        <v>02</v>
      </c>
      <c r="J136" s="8" t="str">
        <f t="shared" si="3"/>
        <v>26</v>
      </c>
      <c r="K136" s="37">
        <f t="shared" si="4"/>
        <v>36948</v>
      </c>
      <c r="L136" s="37">
        <f t="shared" si="5"/>
        <v>45714</v>
      </c>
    </row>
    <row r="137">
      <c r="A137" s="1">
        <v>136.0</v>
      </c>
      <c r="B137" s="1">
        <v>9.31000002E8</v>
      </c>
      <c r="C137" s="1" t="s">
        <v>766</v>
      </c>
      <c r="D137" s="1" t="s">
        <v>767</v>
      </c>
      <c r="E137" s="1" t="s">
        <v>700</v>
      </c>
      <c r="F137" s="36">
        <v>45565.0</v>
      </c>
      <c r="G137" s="1">
        <v>2.0</v>
      </c>
      <c r="H137" s="8" t="str">
        <f t="shared" si="1"/>
        <v>2000</v>
      </c>
      <c r="I137" s="8" t="str">
        <f t="shared" si="2"/>
        <v>02</v>
      </c>
      <c r="J137" s="8" t="str">
        <f t="shared" si="3"/>
        <v>03</v>
      </c>
      <c r="K137" s="37">
        <f t="shared" si="4"/>
        <v>36559</v>
      </c>
      <c r="L137" s="37">
        <f t="shared" si="5"/>
        <v>45691</v>
      </c>
    </row>
    <row r="138">
      <c r="A138" s="1">
        <v>137.0</v>
      </c>
      <c r="B138" s="1">
        <v>2.30100003E8</v>
      </c>
      <c r="C138" s="1" t="s">
        <v>768</v>
      </c>
      <c r="D138" s="1" t="s">
        <v>769</v>
      </c>
      <c r="E138" s="1" t="s">
        <v>700</v>
      </c>
      <c r="F138" s="36">
        <v>45565.0</v>
      </c>
      <c r="G138" s="1">
        <v>2.0</v>
      </c>
      <c r="H138" s="8" t="str">
        <f t="shared" si="1"/>
        <v>1999</v>
      </c>
      <c r="I138" s="8" t="str">
        <f t="shared" si="2"/>
        <v>11</v>
      </c>
      <c r="J138" s="8" t="str">
        <f t="shared" si="3"/>
        <v>20</v>
      </c>
      <c r="K138" s="37">
        <f t="shared" si="4"/>
        <v>36484</v>
      </c>
      <c r="L138" s="37">
        <f t="shared" si="5"/>
        <v>45981</v>
      </c>
    </row>
    <row r="139">
      <c r="A139" s="1">
        <v>138.0</v>
      </c>
      <c r="B139" s="1">
        <v>2.31200003E8</v>
      </c>
      <c r="C139" s="1" t="s">
        <v>770</v>
      </c>
      <c r="D139" s="1" t="s">
        <v>771</v>
      </c>
      <c r="E139" s="1" t="s">
        <v>700</v>
      </c>
      <c r="F139" s="36">
        <v>45565.0</v>
      </c>
      <c r="G139" s="1">
        <v>2.0</v>
      </c>
      <c r="H139" s="8" t="str">
        <f t="shared" si="1"/>
        <v>2000</v>
      </c>
      <c r="I139" s="8" t="str">
        <f t="shared" si="2"/>
        <v>11</v>
      </c>
      <c r="J139" s="8" t="str">
        <f t="shared" si="3"/>
        <v>29</v>
      </c>
      <c r="K139" s="37">
        <f t="shared" si="4"/>
        <v>36859</v>
      </c>
      <c r="L139" s="37">
        <f t="shared" si="5"/>
        <v>45990</v>
      </c>
    </row>
    <row r="140">
      <c r="A140" s="1">
        <v>139.0</v>
      </c>
      <c r="B140" s="1">
        <v>9.30400006E8</v>
      </c>
      <c r="C140" s="1" t="s">
        <v>406</v>
      </c>
      <c r="D140" s="1" t="s">
        <v>772</v>
      </c>
      <c r="E140" s="1" t="s">
        <v>700</v>
      </c>
      <c r="F140" s="36">
        <v>45565.0</v>
      </c>
      <c r="G140" s="1">
        <v>2.0</v>
      </c>
      <c r="H140" s="8" t="str">
        <f t="shared" si="1"/>
        <v>2000</v>
      </c>
      <c r="I140" s="8" t="str">
        <f t="shared" si="2"/>
        <v>05</v>
      </c>
      <c r="J140" s="8" t="str">
        <f t="shared" si="3"/>
        <v>07</v>
      </c>
      <c r="K140" s="37">
        <f t="shared" si="4"/>
        <v>36653</v>
      </c>
      <c r="L140" s="37">
        <f t="shared" si="5"/>
        <v>45784</v>
      </c>
    </row>
    <row r="141">
      <c r="A141" s="1">
        <v>140.0</v>
      </c>
      <c r="B141" s="1">
        <v>9.3100001E8</v>
      </c>
      <c r="C141" s="1" t="s">
        <v>773</v>
      </c>
      <c r="D141" s="1" t="s">
        <v>774</v>
      </c>
      <c r="E141" s="1" t="s">
        <v>700</v>
      </c>
      <c r="F141" s="36">
        <v>45565.0</v>
      </c>
      <c r="G141" s="1">
        <v>2.0</v>
      </c>
      <c r="H141" s="8" t="str">
        <f t="shared" si="1"/>
        <v>2001</v>
      </c>
      <c r="I141" s="8" t="str">
        <f t="shared" si="2"/>
        <v>05</v>
      </c>
      <c r="J141" s="8" t="str">
        <f t="shared" si="3"/>
        <v>08</v>
      </c>
      <c r="K141" s="37">
        <f t="shared" si="4"/>
        <v>37019</v>
      </c>
      <c r="L141" s="37">
        <f t="shared" si="5"/>
        <v>45785</v>
      </c>
    </row>
    <row r="142">
      <c r="A142" s="1">
        <v>141.0</v>
      </c>
      <c r="B142" s="1">
        <v>9.30200013E8</v>
      </c>
      <c r="C142" s="1" t="s">
        <v>775</v>
      </c>
      <c r="D142" s="1" t="s">
        <v>776</v>
      </c>
      <c r="E142" s="1" t="s">
        <v>700</v>
      </c>
      <c r="F142" s="36">
        <v>45565.0</v>
      </c>
      <c r="G142" s="1">
        <v>2.0</v>
      </c>
      <c r="H142" s="8" t="str">
        <f t="shared" si="1"/>
        <v>2000</v>
      </c>
      <c r="I142" s="8" t="str">
        <f t="shared" si="2"/>
        <v>04</v>
      </c>
      <c r="J142" s="8" t="str">
        <f t="shared" si="3"/>
        <v>16</v>
      </c>
      <c r="K142" s="37">
        <f t="shared" si="4"/>
        <v>36632</v>
      </c>
      <c r="L142" s="37">
        <f t="shared" si="5"/>
        <v>45763</v>
      </c>
    </row>
    <row r="143">
      <c r="A143" s="1">
        <v>142.0</v>
      </c>
      <c r="B143" s="1">
        <v>9.30100074E8</v>
      </c>
      <c r="C143" s="1" t="s">
        <v>407</v>
      </c>
      <c r="D143" s="1" t="s">
        <v>777</v>
      </c>
      <c r="E143" s="1" t="s">
        <v>778</v>
      </c>
      <c r="F143" s="36">
        <v>45565.0</v>
      </c>
      <c r="G143" s="1">
        <v>2.0</v>
      </c>
      <c r="H143" s="8" t="str">
        <f t="shared" si="1"/>
        <v>2000</v>
      </c>
      <c r="I143" s="8" t="str">
        <f t="shared" si="2"/>
        <v>05</v>
      </c>
      <c r="J143" s="8" t="str">
        <f t="shared" si="3"/>
        <v>30</v>
      </c>
      <c r="K143" s="37">
        <f t="shared" si="4"/>
        <v>36676</v>
      </c>
      <c r="L143" s="37">
        <f t="shared" si="5"/>
        <v>45807</v>
      </c>
    </row>
    <row r="144">
      <c r="A144" s="1">
        <v>143.0</v>
      </c>
      <c r="B144" s="1">
        <v>9.30500001E8</v>
      </c>
      <c r="C144" s="1" t="s">
        <v>779</v>
      </c>
      <c r="D144" s="1" t="s">
        <v>780</v>
      </c>
      <c r="E144" s="1" t="s">
        <v>700</v>
      </c>
      <c r="F144" s="36">
        <v>45565.0</v>
      </c>
      <c r="G144" s="1">
        <v>2.0</v>
      </c>
      <c r="H144" s="8" t="str">
        <f t="shared" si="1"/>
        <v>1999</v>
      </c>
      <c r="I144" s="8" t="str">
        <f t="shared" si="2"/>
        <v>10</v>
      </c>
      <c r="J144" s="8" t="str">
        <f t="shared" si="3"/>
        <v>17</v>
      </c>
      <c r="K144" s="37">
        <f t="shared" si="4"/>
        <v>36450</v>
      </c>
      <c r="L144" s="37">
        <f t="shared" si="5"/>
        <v>45947</v>
      </c>
    </row>
    <row r="145">
      <c r="A145" s="1">
        <v>144.0</v>
      </c>
      <c r="B145" s="1">
        <v>9.30100046E8</v>
      </c>
      <c r="C145" s="1" t="s">
        <v>781</v>
      </c>
      <c r="D145" s="1" t="s">
        <v>782</v>
      </c>
      <c r="E145" s="1" t="s">
        <v>778</v>
      </c>
      <c r="F145" s="36">
        <v>45565.0</v>
      </c>
      <c r="G145" s="1">
        <v>2.0</v>
      </c>
      <c r="H145" s="8" t="str">
        <f t="shared" si="1"/>
        <v>2000</v>
      </c>
      <c r="I145" s="8" t="str">
        <f t="shared" si="2"/>
        <v>09</v>
      </c>
      <c r="J145" s="8" t="str">
        <f t="shared" si="3"/>
        <v>10</v>
      </c>
      <c r="K145" s="37">
        <f t="shared" si="4"/>
        <v>36779</v>
      </c>
      <c r="L145" s="37">
        <f t="shared" si="5"/>
        <v>45910</v>
      </c>
    </row>
    <row r="146">
      <c r="A146" s="1">
        <v>145.0</v>
      </c>
      <c r="B146" s="1">
        <v>9.30700001E8</v>
      </c>
      <c r="C146" s="1" t="s">
        <v>783</v>
      </c>
      <c r="D146" s="1" t="s">
        <v>784</v>
      </c>
      <c r="E146" s="1" t="s">
        <v>700</v>
      </c>
      <c r="F146" s="36">
        <v>45565.0</v>
      </c>
      <c r="G146" s="1">
        <v>3.0</v>
      </c>
      <c r="H146" s="8" t="str">
        <f t="shared" si="1"/>
        <v>2000</v>
      </c>
      <c r="I146" s="8" t="str">
        <f t="shared" si="2"/>
        <v>05</v>
      </c>
      <c r="J146" s="8" t="str">
        <f t="shared" si="3"/>
        <v>17</v>
      </c>
      <c r="K146" s="37">
        <f t="shared" si="4"/>
        <v>36663</v>
      </c>
      <c r="L146" s="37">
        <f t="shared" si="5"/>
        <v>45794</v>
      </c>
    </row>
    <row r="147">
      <c r="A147" s="1">
        <v>146.0</v>
      </c>
      <c r="B147" s="1">
        <v>9.30700006E8</v>
      </c>
      <c r="C147" s="1" t="s">
        <v>785</v>
      </c>
      <c r="D147" s="1" t="s">
        <v>786</v>
      </c>
      <c r="E147" s="1" t="s">
        <v>717</v>
      </c>
      <c r="F147" s="36">
        <v>45565.0</v>
      </c>
      <c r="G147" s="1">
        <v>3.0</v>
      </c>
      <c r="H147" s="8" t="str">
        <f t="shared" si="1"/>
        <v>2000</v>
      </c>
      <c r="I147" s="8" t="str">
        <f t="shared" si="2"/>
        <v>09</v>
      </c>
      <c r="J147" s="8" t="str">
        <f t="shared" si="3"/>
        <v>22</v>
      </c>
      <c r="K147" s="37">
        <f t="shared" si="4"/>
        <v>36791</v>
      </c>
      <c r="L147" s="37">
        <f t="shared" si="5"/>
        <v>45922</v>
      </c>
    </row>
    <row r="148">
      <c r="A148" s="1">
        <v>147.0</v>
      </c>
      <c r="B148" s="1">
        <v>9.30800003E8</v>
      </c>
      <c r="C148" s="1" t="s">
        <v>787</v>
      </c>
      <c r="D148" s="1" t="s">
        <v>788</v>
      </c>
      <c r="E148" s="1" t="s">
        <v>700</v>
      </c>
      <c r="F148" s="36">
        <v>45565.0</v>
      </c>
      <c r="G148" s="1">
        <v>3.0</v>
      </c>
      <c r="H148" s="8" t="str">
        <f t="shared" si="1"/>
        <v>2002</v>
      </c>
      <c r="I148" s="8" t="str">
        <f t="shared" si="2"/>
        <v>01</v>
      </c>
      <c r="J148" s="8" t="str">
        <f t="shared" si="3"/>
        <v>08</v>
      </c>
      <c r="K148" s="37">
        <f t="shared" si="4"/>
        <v>37264</v>
      </c>
      <c r="L148" s="37">
        <f t="shared" si="5"/>
        <v>45665</v>
      </c>
    </row>
    <row r="149">
      <c r="A149" s="1">
        <v>148.0</v>
      </c>
      <c r="B149" s="1">
        <v>2.30200003E8</v>
      </c>
      <c r="C149" s="1" t="s">
        <v>408</v>
      </c>
      <c r="D149" s="1" t="s">
        <v>789</v>
      </c>
      <c r="E149" s="1" t="s">
        <v>778</v>
      </c>
      <c r="F149" s="36">
        <v>45565.0</v>
      </c>
      <c r="G149" s="1">
        <v>3.0</v>
      </c>
      <c r="H149" s="8" t="str">
        <f t="shared" si="1"/>
        <v>2000</v>
      </c>
      <c r="I149" s="8" t="str">
        <f t="shared" si="2"/>
        <v>06</v>
      </c>
      <c r="J149" s="8" t="str">
        <f t="shared" si="3"/>
        <v>02</v>
      </c>
      <c r="K149" s="37">
        <f t="shared" si="4"/>
        <v>36679</v>
      </c>
      <c r="L149" s="37">
        <f t="shared" si="5"/>
        <v>45810</v>
      </c>
    </row>
    <row r="150">
      <c r="A150" s="1">
        <v>149.0</v>
      </c>
      <c r="B150" s="1">
        <v>9.3090001E8</v>
      </c>
      <c r="C150" s="1" t="s">
        <v>790</v>
      </c>
      <c r="D150" s="1" t="s">
        <v>791</v>
      </c>
      <c r="E150" s="1" t="s">
        <v>700</v>
      </c>
      <c r="F150" s="36">
        <v>45565.0</v>
      </c>
      <c r="G150" s="1">
        <v>3.0</v>
      </c>
      <c r="H150" s="8" t="str">
        <f t="shared" si="1"/>
        <v>2001</v>
      </c>
      <c r="I150" s="8" t="str">
        <f t="shared" si="2"/>
        <v>06</v>
      </c>
      <c r="J150" s="8" t="str">
        <f t="shared" si="3"/>
        <v>08</v>
      </c>
      <c r="K150" s="37">
        <f t="shared" si="4"/>
        <v>37050</v>
      </c>
      <c r="L150" s="37">
        <f t="shared" si="5"/>
        <v>45816</v>
      </c>
    </row>
    <row r="151">
      <c r="A151" s="1">
        <v>150.0</v>
      </c>
      <c r="B151" s="1">
        <v>9.30100009E8</v>
      </c>
      <c r="C151" s="1" t="s">
        <v>12</v>
      </c>
      <c r="D151" s="1" t="s">
        <v>792</v>
      </c>
      <c r="E151" s="1" t="s">
        <v>717</v>
      </c>
      <c r="F151" s="36">
        <v>45565.0</v>
      </c>
      <c r="G151" s="1">
        <v>3.0</v>
      </c>
      <c r="H151" s="8" t="str">
        <f t="shared" si="1"/>
        <v>2000</v>
      </c>
      <c r="I151" s="8" t="str">
        <f t="shared" si="2"/>
        <v>07</v>
      </c>
      <c r="J151" s="8" t="str">
        <f t="shared" si="3"/>
        <v>23</v>
      </c>
      <c r="K151" s="37">
        <f t="shared" si="4"/>
        <v>36730</v>
      </c>
      <c r="L151" s="37">
        <f t="shared" si="5"/>
        <v>45861</v>
      </c>
    </row>
    <row r="152">
      <c r="A152" s="1">
        <v>151.0</v>
      </c>
      <c r="B152" s="1">
        <v>9.30200009E8</v>
      </c>
      <c r="C152" s="1" t="s">
        <v>793</v>
      </c>
      <c r="D152" s="1" t="s">
        <v>794</v>
      </c>
      <c r="E152" s="1" t="s">
        <v>700</v>
      </c>
      <c r="F152" s="36">
        <v>45565.0</v>
      </c>
      <c r="G152" s="1">
        <v>3.0</v>
      </c>
      <c r="H152" s="8" t="str">
        <f t="shared" si="1"/>
        <v>2000</v>
      </c>
      <c r="I152" s="8" t="str">
        <f t="shared" si="2"/>
        <v>04</v>
      </c>
      <c r="J152" s="8" t="str">
        <f t="shared" si="3"/>
        <v>19</v>
      </c>
      <c r="K152" s="37">
        <f t="shared" si="4"/>
        <v>36635</v>
      </c>
      <c r="L152" s="37">
        <f t="shared" si="5"/>
        <v>45766</v>
      </c>
    </row>
    <row r="153">
      <c r="A153" s="1">
        <v>152.0</v>
      </c>
      <c r="B153" s="1">
        <v>2.3110001E8</v>
      </c>
      <c r="C153" s="1" t="s">
        <v>795</v>
      </c>
      <c r="D153" s="1" t="s">
        <v>796</v>
      </c>
      <c r="E153" s="1" t="s">
        <v>700</v>
      </c>
      <c r="F153" s="36">
        <v>45565.0</v>
      </c>
      <c r="G153" s="1">
        <v>3.0</v>
      </c>
      <c r="H153" s="8" t="str">
        <f t="shared" si="1"/>
        <v>2001</v>
      </c>
      <c r="I153" s="8" t="str">
        <f t="shared" si="2"/>
        <v>07</v>
      </c>
      <c r="J153" s="8" t="str">
        <f t="shared" si="3"/>
        <v>13</v>
      </c>
      <c r="K153" s="37">
        <f t="shared" si="4"/>
        <v>37085</v>
      </c>
      <c r="L153" s="37">
        <f t="shared" si="5"/>
        <v>45851</v>
      </c>
    </row>
    <row r="154">
      <c r="A154" s="1">
        <v>153.0</v>
      </c>
      <c r="B154" s="1">
        <v>9.30900004E8</v>
      </c>
      <c r="C154" s="1" t="s">
        <v>797</v>
      </c>
      <c r="D154" s="1" t="s">
        <v>798</v>
      </c>
      <c r="E154" s="1" t="s">
        <v>700</v>
      </c>
      <c r="F154" s="36">
        <v>45565.0</v>
      </c>
      <c r="G154" s="1">
        <v>3.0</v>
      </c>
      <c r="H154" s="8" t="str">
        <f t="shared" si="1"/>
        <v>2000</v>
      </c>
      <c r="I154" s="8" t="str">
        <f t="shared" si="2"/>
        <v>01</v>
      </c>
      <c r="J154" s="8" t="str">
        <f t="shared" si="3"/>
        <v>16</v>
      </c>
      <c r="K154" s="37">
        <f t="shared" si="4"/>
        <v>36541</v>
      </c>
      <c r="L154" s="37">
        <f t="shared" si="5"/>
        <v>45673</v>
      </c>
    </row>
    <row r="155">
      <c r="A155" s="1">
        <v>154.0</v>
      </c>
      <c r="B155" s="1">
        <v>2.31000002E8</v>
      </c>
      <c r="C155" s="1" t="s">
        <v>799</v>
      </c>
      <c r="D155" s="1" t="s">
        <v>800</v>
      </c>
      <c r="E155" s="1" t="s">
        <v>700</v>
      </c>
      <c r="F155" s="36">
        <v>45565.0</v>
      </c>
      <c r="G155" s="1">
        <v>3.0</v>
      </c>
      <c r="H155" s="8" t="str">
        <f t="shared" si="1"/>
        <v>2000</v>
      </c>
      <c r="I155" s="8" t="str">
        <f t="shared" si="2"/>
        <v>06</v>
      </c>
      <c r="J155" s="8" t="str">
        <f t="shared" si="3"/>
        <v>01</v>
      </c>
      <c r="K155" s="37">
        <f t="shared" si="4"/>
        <v>36678</v>
      </c>
      <c r="L155" s="37">
        <f t="shared" si="5"/>
        <v>45809</v>
      </c>
    </row>
    <row r="156">
      <c r="A156" s="1">
        <v>155.0</v>
      </c>
      <c r="B156" s="1">
        <v>2.31200004E8</v>
      </c>
      <c r="C156" s="1" t="s">
        <v>411</v>
      </c>
      <c r="D156" s="1" t="s">
        <v>801</v>
      </c>
      <c r="E156" s="1" t="s">
        <v>700</v>
      </c>
      <c r="F156" s="36">
        <v>45565.0</v>
      </c>
      <c r="G156" s="1">
        <v>3.0</v>
      </c>
      <c r="H156" s="8" t="str">
        <f t="shared" si="1"/>
        <v>2000</v>
      </c>
      <c r="I156" s="8" t="str">
        <f t="shared" si="2"/>
        <v>09</v>
      </c>
      <c r="J156" s="8" t="str">
        <f t="shared" si="3"/>
        <v>13</v>
      </c>
      <c r="K156" s="37">
        <f t="shared" si="4"/>
        <v>36782</v>
      </c>
      <c r="L156" s="37">
        <f t="shared" si="5"/>
        <v>45913</v>
      </c>
    </row>
    <row r="157">
      <c r="A157" s="1">
        <v>156.0</v>
      </c>
      <c r="B157" s="1">
        <v>9.30400009E8</v>
      </c>
      <c r="C157" s="1" t="s">
        <v>802</v>
      </c>
      <c r="D157" s="1" t="s">
        <v>803</v>
      </c>
      <c r="E157" s="1" t="s">
        <v>700</v>
      </c>
      <c r="F157" s="36">
        <v>45565.0</v>
      </c>
      <c r="G157" s="1">
        <v>3.0</v>
      </c>
      <c r="H157" s="8" t="str">
        <f t="shared" si="1"/>
        <v>1999</v>
      </c>
      <c r="I157" s="8" t="str">
        <f t="shared" si="2"/>
        <v>12</v>
      </c>
      <c r="J157" s="8" t="str">
        <f t="shared" si="3"/>
        <v>14</v>
      </c>
      <c r="K157" s="37">
        <f t="shared" si="4"/>
        <v>36508</v>
      </c>
      <c r="L157" s="37">
        <f t="shared" si="5"/>
        <v>46005</v>
      </c>
    </row>
    <row r="158">
      <c r="A158" s="1">
        <v>157.0</v>
      </c>
      <c r="B158" s="1">
        <v>9.31000004E8</v>
      </c>
      <c r="C158" s="1" t="s">
        <v>804</v>
      </c>
      <c r="D158" s="1" t="s">
        <v>805</v>
      </c>
      <c r="E158" s="1" t="s">
        <v>700</v>
      </c>
      <c r="F158" s="36">
        <v>45565.0</v>
      </c>
      <c r="G158" s="1">
        <v>3.0</v>
      </c>
      <c r="H158" s="8" t="str">
        <f t="shared" si="1"/>
        <v>2000</v>
      </c>
      <c r="I158" s="8" t="str">
        <f t="shared" si="2"/>
        <v>06</v>
      </c>
      <c r="J158" s="8" t="str">
        <f t="shared" si="3"/>
        <v>02</v>
      </c>
      <c r="K158" s="37">
        <f t="shared" si="4"/>
        <v>36679</v>
      </c>
      <c r="L158" s="37">
        <f t="shared" si="5"/>
        <v>45810</v>
      </c>
    </row>
    <row r="159">
      <c r="A159" s="1">
        <v>158.0</v>
      </c>
      <c r="B159" s="1">
        <v>9.30100015E8</v>
      </c>
      <c r="C159" s="1" t="s">
        <v>806</v>
      </c>
      <c r="D159" s="1" t="s">
        <v>807</v>
      </c>
      <c r="E159" s="1" t="s">
        <v>700</v>
      </c>
      <c r="F159" s="36">
        <v>45565.0</v>
      </c>
      <c r="G159" s="1">
        <v>3.0</v>
      </c>
      <c r="H159" s="8" t="str">
        <f t="shared" si="1"/>
        <v>1999</v>
      </c>
      <c r="I159" s="8" t="str">
        <f t="shared" si="2"/>
        <v>11</v>
      </c>
      <c r="J159" s="8" t="str">
        <f t="shared" si="3"/>
        <v>13</v>
      </c>
      <c r="K159" s="37">
        <f t="shared" si="4"/>
        <v>36477</v>
      </c>
      <c r="L159" s="37">
        <f t="shared" si="5"/>
        <v>45974</v>
      </c>
    </row>
    <row r="160">
      <c r="A160" s="1">
        <v>159.0</v>
      </c>
      <c r="B160" s="1">
        <v>9.30600005E8</v>
      </c>
      <c r="C160" s="1" t="s">
        <v>412</v>
      </c>
      <c r="D160" s="1" t="s">
        <v>808</v>
      </c>
      <c r="E160" s="1" t="s">
        <v>745</v>
      </c>
      <c r="F160" s="36">
        <v>45565.0</v>
      </c>
      <c r="G160" s="1">
        <v>3.0</v>
      </c>
      <c r="H160" s="8" t="str">
        <f t="shared" si="1"/>
        <v>2000</v>
      </c>
      <c r="I160" s="8" t="str">
        <f t="shared" si="2"/>
        <v>07</v>
      </c>
      <c r="J160" s="8" t="str">
        <f t="shared" si="3"/>
        <v>07</v>
      </c>
      <c r="K160" s="37">
        <f t="shared" si="4"/>
        <v>36714</v>
      </c>
      <c r="L160" s="37">
        <f t="shared" si="5"/>
        <v>45845</v>
      </c>
    </row>
    <row r="161">
      <c r="A161" s="1">
        <v>160.0</v>
      </c>
      <c r="B161" s="1">
        <v>9.30100039E8</v>
      </c>
      <c r="C161" s="1" t="s">
        <v>809</v>
      </c>
      <c r="D161" s="1" t="s">
        <v>810</v>
      </c>
      <c r="E161" s="1" t="s">
        <v>700</v>
      </c>
      <c r="F161" s="36">
        <v>45565.0</v>
      </c>
      <c r="G161" s="1">
        <v>3.0</v>
      </c>
      <c r="H161" s="8" t="str">
        <f t="shared" si="1"/>
        <v>2000</v>
      </c>
      <c r="I161" s="8" t="str">
        <f t="shared" si="2"/>
        <v>01</v>
      </c>
      <c r="J161" s="8" t="str">
        <f t="shared" si="3"/>
        <v>23</v>
      </c>
      <c r="K161" s="37">
        <f t="shared" si="4"/>
        <v>36548</v>
      </c>
      <c r="L161" s="37">
        <f t="shared" si="5"/>
        <v>45680</v>
      </c>
    </row>
    <row r="162">
      <c r="A162" s="1">
        <v>161.0</v>
      </c>
      <c r="B162" s="1">
        <v>9.30100024E8</v>
      </c>
      <c r="C162" s="1" t="s">
        <v>811</v>
      </c>
      <c r="D162" s="1" t="s">
        <v>812</v>
      </c>
      <c r="E162" s="1" t="s">
        <v>700</v>
      </c>
      <c r="F162" s="36">
        <v>45565.0</v>
      </c>
      <c r="G162" s="1">
        <v>3.0</v>
      </c>
      <c r="H162" s="8" t="str">
        <f t="shared" si="1"/>
        <v>2000</v>
      </c>
      <c r="I162" s="8" t="str">
        <f t="shared" si="2"/>
        <v>01</v>
      </c>
      <c r="J162" s="8" t="str">
        <f t="shared" si="3"/>
        <v>19</v>
      </c>
      <c r="K162" s="37">
        <f t="shared" si="4"/>
        <v>36544</v>
      </c>
      <c r="L162" s="37">
        <f t="shared" si="5"/>
        <v>45676</v>
      </c>
    </row>
    <row r="163">
      <c r="A163" s="1">
        <v>162.0</v>
      </c>
      <c r="B163" s="1">
        <v>9.30100032E8</v>
      </c>
      <c r="C163" s="1" t="s">
        <v>417</v>
      </c>
      <c r="D163" s="1" t="s">
        <v>813</v>
      </c>
      <c r="E163" s="1" t="s">
        <v>700</v>
      </c>
      <c r="F163" s="36">
        <v>45565.0</v>
      </c>
      <c r="G163" s="1">
        <v>3.0</v>
      </c>
      <c r="H163" s="8" t="str">
        <f t="shared" si="1"/>
        <v>2000</v>
      </c>
      <c r="I163" s="8" t="str">
        <f t="shared" si="2"/>
        <v>02</v>
      </c>
      <c r="J163" s="8" t="str">
        <f t="shared" si="3"/>
        <v>27</v>
      </c>
      <c r="K163" s="37">
        <f t="shared" si="4"/>
        <v>36583</v>
      </c>
      <c r="L163" s="37">
        <f t="shared" si="5"/>
        <v>45715</v>
      </c>
    </row>
    <row r="164">
      <c r="A164" s="1">
        <v>163.0</v>
      </c>
      <c r="B164" s="1">
        <v>2.30900002E8</v>
      </c>
      <c r="C164" s="1" t="s">
        <v>814</v>
      </c>
      <c r="D164" s="1" t="s">
        <v>815</v>
      </c>
      <c r="E164" s="1" t="s">
        <v>700</v>
      </c>
      <c r="F164" s="36">
        <v>45565.0</v>
      </c>
      <c r="G164" s="1">
        <v>3.0</v>
      </c>
      <c r="H164" s="8" t="str">
        <f t="shared" si="1"/>
        <v>2001</v>
      </c>
      <c r="I164" s="8" t="str">
        <f t="shared" si="2"/>
        <v>03</v>
      </c>
      <c r="J164" s="8" t="str">
        <f t="shared" si="3"/>
        <v>16</v>
      </c>
      <c r="K164" s="37">
        <f t="shared" si="4"/>
        <v>36966</v>
      </c>
      <c r="L164" s="37">
        <f t="shared" si="5"/>
        <v>45732</v>
      </c>
    </row>
    <row r="165">
      <c r="A165" s="1">
        <v>164.0</v>
      </c>
      <c r="B165" s="1">
        <v>9.30100063E8</v>
      </c>
      <c r="C165" s="1" t="s">
        <v>816</v>
      </c>
      <c r="D165" s="1" t="s">
        <v>817</v>
      </c>
      <c r="E165" s="1" t="s">
        <v>700</v>
      </c>
      <c r="F165" s="36">
        <v>45565.0</v>
      </c>
      <c r="G165" s="1">
        <v>3.0</v>
      </c>
      <c r="H165" s="8" t="str">
        <f t="shared" si="1"/>
        <v>2000</v>
      </c>
      <c r="I165" s="8" t="str">
        <f t="shared" si="2"/>
        <v>05</v>
      </c>
      <c r="J165" s="8" t="str">
        <f t="shared" si="3"/>
        <v>19</v>
      </c>
      <c r="K165" s="37">
        <f t="shared" si="4"/>
        <v>36665</v>
      </c>
      <c r="L165" s="37">
        <f t="shared" si="5"/>
        <v>45796</v>
      </c>
    </row>
    <row r="166">
      <c r="A166" s="1">
        <v>165.0</v>
      </c>
      <c r="B166" s="1">
        <v>9.3020001E8</v>
      </c>
      <c r="C166" s="1" t="s">
        <v>818</v>
      </c>
      <c r="D166" s="1" t="s">
        <v>819</v>
      </c>
      <c r="E166" s="1" t="s">
        <v>700</v>
      </c>
      <c r="F166" s="36">
        <v>45565.0</v>
      </c>
      <c r="G166" s="1">
        <v>3.0</v>
      </c>
      <c r="H166" s="8" t="str">
        <f t="shared" si="1"/>
        <v>2001</v>
      </c>
      <c r="I166" s="8" t="str">
        <f t="shared" si="2"/>
        <v>10</v>
      </c>
      <c r="J166" s="8" t="str">
        <f t="shared" si="3"/>
        <v>12</v>
      </c>
      <c r="K166" s="37">
        <f t="shared" si="4"/>
        <v>37176</v>
      </c>
      <c r="L166" s="37">
        <f t="shared" si="5"/>
        <v>45942</v>
      </c>
    </row>
    <row r="167">
      <c r="A167" s="1">
        <v>166.0</v>
      </c>
      <c r="B167" s="1">
        <v>2.31200001E8</v>
      </c>
      <c r="C167" s="1" t="s">
        <v>820</v>
      </c>
      <c r="D167" s="1" t="s">
        <v>821</v>
      </c>
      <c r="E167" s="1" t="s">
        <v>700</v>
      </c>
      <c r="F167" s="36">
        <v>45565.0</v>
      </c>
      <c r="G167" s="1">
        <v>3.0</v>
      </c>
      <c r="H167" s="8" t="str">
        <f t="shared" si="1"/>
        <v>2000</v>
      </c>
      <c r="I167" s="8" t="str">
        <f t="shared" si="2"/>
        <v>04</v>
      </c>
      <c r="J167" s="8" t="str">
        <f t="shared" si="3"/>
        <v>20</v>
      </c>
      <c r="K167" s="37">
        <f t="shared" si="4"/>
        <v>36636</v>
      </c>
      <c r="L167" s="37">
        <f t="shared" si="5"/>
        <v>45767</v>
      </c>
    </row>
    <row r="168">
      <c r="A168" s="1">
        <v>167.0</v>
      </c>
      <c r="B168" s="1">
        <v>9.30800007E8</v>
      </c>
      <c r="C168" s="1" t="s">
        <v>17</v>
      </c>
      <c r="D168" s="1" t="s">
        <v>822</v>
      </c>
      <c r="E168" s="1" t="s">
        <v>700</v>
      </c>
      <c r="F168" s="36">
        <v>45565.0</v>
      </c>
      <c r="G168" s="1">
        <v>3.0</v>
      </c>
      <c r="H168" s="8" t="str">
        <f t="shared" si="1"/>
        <v>2000</v>
      </c>
      <c r="I168" s="8" t="str">
        <f t="shared" si="2"/>
        <v>11</v>
      </c>
      <c r="J168" s="8" t="str">
        <f t="shared" si="3"/>
        <v>13</v>
      </c>
      <c r="K168" s="37">
        <f t="shared" si="4"/>
        <v>36843</v>
      </c>
      <c r="L168" s="37">
        <f t="shared" si="5"/>
        <v>45974</v>
      </c>
    </row>
    <row r="169">
      <c r="A169" s="1">
        <v>168.0</v>
      </c>
      <c r="B169" s="1">
        <v>9.30100017E8</v>
      </c>
      <c r="C169" s="1" t="s">
        <v>823</v>
      </c>
      <c r="D169" s="1" t="s">
        <v>824</v>
      </c>
      <c r="E169" s="1" t="s">
        <v>700</v>
      </c>
      <c r="F169" s="36">
        <v>45565.0</v>
      </c>
      <c r="G169" s="1">
        <v>3.0</v>
      </c>
      <c r="H169" s="8" t="str">
        <f t="shared" si="1"/>
        <v>2001</v>
      </c>
      <c r="I169" s="8" t="str">
        <f t="shared" si="2"/>
        <v>01</v>
      </c>
      <c r="J169" s="8" t="str">
        <f t="shared" si="3"/>
        <v>02</v>
      </c>
      <c r="K169" s="37">
        <f t="shared" si="4"/>
        <v>36893</v>
      </c>
      <c r="L169" s="37">
        <f t="shared" si="5"/>
        <v>45659</v>
      </c>
    </row>
    <row r="170">
      <c r="A170" s="1">
        <v>169.0</v>
      </c>
      <c r="B170" s="1">
        <v>9.30900001E8</v>
      </c>
      <c r="C170" s="1" t="s">
        <v>825</v>
      </c>
      <c r="D170" s="1" t="s">
        <v>826</v>
      </c>
      <c r="E170" s="1" t="s">
        <v>700</v>
      </c>
      <c r="F170" s="36">
        <v>45565.0</v>
      </c>
      <c r="G170" s="1">
        <v>3.0</v>
      </c>
      <c r="H170" s="8" t="str">
        <f t="shared" si="1"/>
        <v>2001</v>
      </c>
      <c r="I170" s="8" t="str">
        <f t="shared" si="2"/>
        <v>06</v>
      </c>
      <c r="J170" s="8" t="str">
        <f t="shared" si="3"/>
        <v>19</v>
      </c>
      <c r="K170" s="37">
        <f t="shared" si="4"/>
        <v>37061</v>
      </c>
      <c r="L170" s="37">
        <f t="shared" si="5"/>
        <v>45827</v>
      </c>
    </row>
    <row r="171">
      <c r="A171" s="1">
        <v>170.0</v>
      </c>
      <c r="B171" s="1">
        <v>9.30200006E8</v>
      </c>
      <c r="C171" s="1" t="s">
        <v>421</v>
      </c>
      <c r="D171" s="1" t="s">
        <v>827</v>
      </c>
      <c r="E171" s="1" t="s">
        <v>700</v>
      </c>
      <c r="F171" s="36">
        <v>45565.0</v>
      </c>
      <c r="G171" s="1">
        <v>3.0</v>
      </c>
      <c r="H171" s="8" t="str">
        <f t="shared" si="1"/>
        <v>2000</v>
      </c>
      <c r="I171" s="8" t="str">
        <f t="shared" si="2"/>
        <v>12</v>
      </c>
      <c r="J171" s="8" t="str">
        <f t="shared" si="3"/>
        <v>14</v>
      </c>
      <c r="K171" s="37">
        <f t="shared" si="4"/>
        <v>36874</v>
      </c>
      <c r="L171" s="37">
        <f t="shared" si="5"/>
        <v>46005</v>
      </c>
    </row>
    <row r="172">
      <c r="A172" s="1">
        <v>171.0</v>
      </c>
      <c r="B172" s="1">
        <v>9.3010004E8</v>
      </c>
      <c r="C172" s="1" t="s">
        <v>828</v>
      </c>
      <c r="D172" s="1" t="s">
        <v>829</v>
      </c>
      <c r="E172" s="1" t="s">
        <v>700</v>
      </c>
      <c r="F172" s="36">
        <v>45565.0</v>
      </c>
      <c r="G172" s="1">
        <v>3.0</v>
      </c>
      <c r="H172" s="8" t="str">
        <f t="shared" si="1"/>
        <v>2000</v>
      </c>
      <c r="I172" s="8" t="str">
        <f t="shared" si="2"/>
        <v>06</v>
      </c>
      <c r="J172" s="8" t="str">
        <f t="shared" si="3"/>
        <v>11</v>
      </c>
      <c r="K172" s="37">
        <f t="shared" si="4"/>
        <v>36688</v>
      </c>
      <c r="L172" s="37">
        <f t="shared" si="5"/>
        <v>45819</v>
      </c>
    </row>
    <row r="173">
      <c r="A173" s="1">
        <v>172.0</v>
      </c>
      <c r="B173" s="1">
        <v>2.31000003E8</v>
      </c>
      <c r="C173" s="1" t="s">
        <v>830</v>
      </c>
      <c r="D173" s="1" t="s">
        <v>831</v>
      </c>
      <c r="E173" s="1" t="s">
        <v>700</v>
      </c>
      <c r="F173" s="36">
        <v>45565.0</v>
      </c>
      <c r="G173" s="1">
        <v>3.0</v>
      </c>
      <c r="H173" s="8" t="str">
        <f t="shared" si="1"/>
        <v>2000</v>
      </c>
      <c r="I173" s="8" t="str">
        <f t="shared" si="2"/>
        <v>06</v>
      </c>
      <c r="J173" s="8" t="str">
        <f t="shared" si="3"/>
        <v>03</v>
      </c>
      <c r="K173" s="37">
        <f t="shared" si="4"/>
        <v>36680</v>
      </c>
      <c r="L173" s="37">
        <f t="shared" si="5"/>
        <v>45811</v>
      </c>
    </row>
    <row r="174">
      <c r="A174" s="1">
        <v>173.0</v>
      </c>
      <c r="B174" s="1">
        <v>9.30100059E8</v>
      </c>
      <c r="C174" s="1" t="s">
        <v>832</v>
      </c>
      <c r="D174" s="1" t="s">
        <v>833</v>
      </c>
      <c r="E174" s="1" t="s">
        <v>700</v>
      </c>
      <c r="F174" s="36">
        <v>45565.0</v>
      </c>
      <c r="G174" s="1">
        <v>3.0</v>
      </c>
      <c r="H174" s="8" t="str">
        <f t="shared" si="1"/>
        <v>1999</v>
      </c>
      <c r="I174" s="8" t="str">
        <f t="shared" si="2"/>
        <v>11</v>
      </c>
      <c r="J174" s="8" t="str">
        <f t="shared" si="3"/>
        <v>20</v>
      </c>
      <c r="K174" s="37">
        <f t="shared" si="4"/>
        <v>36484</v>
      </c>
      <c r="L174" s="37">
        <f t="shared" si="5"/>
        <v>45981</v>
      </c>
    </row>
    <row r="175">
      <c r="A175" s="1">
        <v>174.0</v>
      </c>
      <c r="B175" s="1">
        <v>2.31400004E8</v>
      </c>
      <c r="C175" s="1" t="s">
        <v>834</v>
      </c>
      <c r="D175" s="1" t="s">
        <v>835</v>
      </c>
      <c r="E175" s="1" t="s">
        <v>700</v>
      </c>
      <c r="F175" s="36">
        <v>45565.0</v>
      </c>
      <c r="G175" s="1">
        <v>3.0</v>
      </c>
      <c r="H175" s="8" t="str">
        <f t="shared" si="1"/>
        <v>2001</v>
      </c>
      <c r="I175" s="8" t="str">
        <f t="shared" si="2"/>
        <v>04</v>
      </c>
      <c r="J175" s="8" t="str">
        <f t="shared" si="3"/>
        <v>27</v>
      </c>
      <c r="K175" s="37">
        <f t="shared" si="4"/>
        <v>37008</v>
      </c>
      <c r="L175" s="37">
        <f t="shared" si="5"/>
        <v>45774</v>
      </c>
    </row>
    <row r="176">
      <c r="A176" s="1">
        <v>175.0</v>
      </c>
      <c r="B176" s="1">
        <v>9.31000005E8</v>
      </c>
      <c r="C176" s="1" t="s">
        <v>836</v>
      </c>
      <c r="D176" s="1" t="s">
        <v>837</v>
      </c>
      <c r="E176" s="1" t="s">
        <v>700</v>
      </c>
      <c r="F176" s="36">
        <v>45565.0</v>
      </c>
      <c r="G176" s="1">
        <v>3.0</v>
      </c>
      <c r="H176" s="8" t="str">
        <f t="shared" si="1"/>
        <v>2000</v>
      </c>
      <c r="I176" s="8" t="str">
        <f t="shared" si="2"/>
        <v>01</v>
      </c>
      <c r="J176" s="8" t="str">
        <f t="shared" si="3"/>
        <v>27</v>
      </c>
      <c r="K176" s="37">
        <f t="shared" si="4"/>
        <v>36552</v>
      </c>
      <c r="L176" s="37">
        <f t="shared" si="5"/>
        <v>45684</v>
      </c>
    </row>
    <row r="177">
      <c r="A177" s="1">
        <v>176.0</v>
      </c>
      <c r="B177" s="1">
        <v>9.30400007E8</v>
      </c>
      <c r="C177" s="1" t="s">
        <v>838</v>
      </c>
      <c r="D177" s="1" t="s">
        <v>839</v>
      </c>
      <c r="E177" s="1" t="s">
        <v>700</v>
      </c>
      <c r="F177" s="36">
        <v>45565.0</v>
      </c>
      <c r="G177" s="1">
        <v>3.0</v>
      </c>
      <c r="H177" s="8" t="str">
        <f t="shared" si="1"/>
        <v>2000</v>
      </c>
      <c r="I177" s="8" t="str">
        <f t="shared" si="2"/>
        <v>04</v>
      </c>
      <c r="J177" s="8" t="str">
        <f t="shared" si="3"/>
        <v>13</v>
      </c>
      <c r="K177" s="37">
        <f t="shared" si="4"/>
        <v>36629</v>
      </c>
      <c r="L177" s="37">
        <f t="shared" si="5"/>
        <v>45760</v>
      </c>
    </row>
    <row r="178">
      <c r="A178" s="1">
        <v>177.0</v>
      </c>
      <c r="B178" s="1">
        <v>9.30900007E8</v>
      </c>
      <c r="C178" s="1" t="s">
        <v>424</v>
      </c>
      <c r="D178" s="1" t="s">
        <v>840</v>
      </c>
      <c r="E178" s="1" t="s">
        <v>700</v>
      </c>
      <c r="F178" s="36">
        <v>45565.0</v>
      </c>
      <c r="G178" s="1">
        <v>3.0</v>
      </c>
      <c r="H178" s="8" t="str">
        <f t="shared" si="1"/>
        <v>1999</v>
      </c>
      <c r="I178" s="8" t="str">
        <f t="shared" si="2"/>
        <v>11</v>
      </c>
      <c r="J178" s="8" t="str">
        <f t="shared" si="3"/>
        <v>23</v>
      </c>
      <c r="K178" s="37">
        <f t="shared" si="4"/>
        <v>36487</v>
      </c>
      <c r="L178" s="37">
        <f t="shared" si="5"/>
        <v>45984</v>
      </c>
    </row>
    <row r="179">
      <c r="A179" s="1">
        <v>178.0</v>
      </c>
      <c r="B179" s="1">
        <v>9.30200005E8</v>
      </c>
      <c r="C179" s="1" t="s">
        <v>425</v>
      </c>
      <c r="D179" s="1" t="s">
        <v>841</v>
      </c>
      <c r="E179" s="1" t="s">
        <v>700</v>
      </c>
      <c r="F179" s="36">
        <v>45565.0</v>
      </c>
      <c r="G179" s="1">
        <v>3.0</v>
      </c>
      <c r="H179" s="8" t="str">
        <f t="shared" si="1"/>
        <v>2000</v>
      </c>
      <c r="I179" s="8" t="str">
        <f t="shared" si="2"/>
        <v>03</v>
      </c>
      <c r="J179" s="8" t="str">
        <f t="shared" si="3"/>
        <v>01</v>
      </c>
      <c r="K179" s="37">
        <f t="shared" si="4"/>
        <v>36586</v>
      </c>
      <c r="L179" s="37">
        <f t="shared" si="5"/>
        <v>45717</v>
      </c>
    </row>
    <row r="180">
      <c r="A180" s="1">
        <v>179.0</v>
      </c>
      <c r="B180" s="1">
        <v>9.30100021E8</v>
      </c>
      <c r="C180" s="1" t="s">
        <v>842</v>
      </c>
      <c r="D180" s="1" t="s">
        <v>843</v>
      </c>
      <c r="E180" s="1" t="s">
        <v>700</v>
      </c>
      <c r="F180" s="36">
        <v>45565.0</v>
      </c>
      <c r="G180" s="1">
        <v>3.0</v>
      </c>
      <c r="H180" s="8" t="str">
        <f t="shared" si="1"/>
        <v>2000</v>
      </c>
      <c r="I180" s="8" t="str">
        <f t="shared" si="2"/>
        <v>03</v>
      </c>
      <c r="J180" s="8" t="str">
        <f t="shared" si="3"/>
        <v>15</v>
      </c>
      <c r="K180" s="37">
        <f t="shared" si="4"/>
        <v>36600</v>
      </c>
      <c r="L180" s="37">
        <f t="shared" si="5"/>
        <v>45731</v>
      </c>
    </row>
    <row r="181">
      <c r="A181" s="1">
        <v>180.0</v>
      </c>
      <c r="B181" s="1">
        <v>9.30100006E8</v>
      </c>
      <c r="C181" s="1" t="s">
        <v>844</v>
      </c>
      <c r="D181" s="1" t="s">
        <v>845</v>
      </c>
      <c r="E181" s="1" t="s">
        <v>700</v>
      </c>
      <c r="F181" s="36">
        <v>45565.0</v>
      </c>
      <c r="G181" s="1">
        <v>3.0</v>
      </c>
      <c r="H181" s="8" t="str">
        <f t="shared" si="1"/>
        <v>2001</v>
      </c>
      <c r="I181" s="8" t="str">
        <f t="shared" si="2"/>
        <v>08</v>
      </c>
      <c r="J181" s="8" t="str">
        <f t="shared" si="3"/>
        <v>10</v>
      </c>
      <c r="K181" s="37">
        <f t="shared" si="4"/>
        <v>37113</v>
      </c>
      <c r="L181" s="37">
        <f t="shared" si="5"/>
        <v>45879</v>
      </c>
    </row>
    <row r="182">
      <c r="A182" s="1">
        <v>181.0</v>
      </c>
      <c r="B182" s="1">
        <v>9.30100062E8</v>
      </c>
      <c r="C182" s="1" t="s">
        <v>846</v>
      </c>
      <c r="D182" s="1" t="s">
        <v>847</v>
      </c>
      <c r="E182" s="1" t="s">
        <v>717</v>
      </c>
      <c r="F182" s="36">
        <v>45565.0</v>
      </c>
      <c r="G182" s="1">
        <v>3.0</v>
      </c>
      <c r="H182" s="8" t="str">
        <f t="shared" si="1"/>
        <v>2000</v>
      </c>
      <c r="I182" s="8" t="str">
        <f t="shared" si="2"/>
        <v>04</v>
      </c>
      <c r="J182" s="8" t="str">
        <f t="shared" si="3"/>
        <v>17</v>
      </c>
      <c r="K182" s="37">
        <f t="shared" si="4"/>
        <v>36633</v>
      </c>
      <c r="L182" s="37">
        <f t="shared" si="5"/>
        <v>45764</v>
      </c>
    </row>
    <row r="183">
      <c r="A183" s="1">
        <v>182.0</v>
      </c>
      <c r="B183" s="1">
        <v>9.30400005E8</v>
      </c>
      <c r="C183" s="1" t="s">
        <v>848</v>
      </c>
      <c r="D183" s="1" t="s">
        <v>849</v>
      </c>
      <c r="E183" s="1" t="s">
        <v>700</v>
      </c>
      <c r="F183" s="36">
        <v>45565.0</v>
      </c>
      <c r="G183" s="1">
        <v>3.0</v>
      </c>
      <c r="H183" s="8" t="str">
        <f t="shared" si="1"/>
        <v>2000</v>
      </c>
      <c r="I183" s="8" t="str">
        <f t="shared" si="2"/>
        <v>04</v>
      </c>
      <c r="J183" s="8" t="str">
        <f t="shared" si="3"/>
        <v>11</v>
      </c>
      <c r="K183" s="37">
        <f t="shared" si="4"/>
        <v>36627</v>
      </c>
      <c r="L183" s="37">
        <f t="shared" si="5"/>
        <v>45758</v>
      </c>
    </row>
    <row r="184">
      <c r="A184" s="1">
        <v>183.0</v>
      </c>
      <c r="B184" s="1">
        <v>9.31000006E8</v>
      </c>
      <c r="C184" s="1" t="s">
        <v>430</v>
      </c>
      <c r="D184" s="1" t="s">
        <v>850</v>
      </c>
      <c r="E184" s="1" t="s">
        <v>717</v>
      </c>
      <c r="F184" s="36">
        <v>45565.0</v>
      </c>
      <c r="G184" s="1">
        <v>3.0</v>
      </c>
      <c r="H184" s="8" t="str">
        <f t="shared" si="1"/>
        <v>2000</v>
      </c>
      <c r="I184" s="8" t="str">
        <f t="shared" si="2"/>
        <v>08</v>
      </c>
      <c r="J184" s="8" t="str">
        <f t="shared" si="3"/>
        <v>12</v>
      </c>
      <c r="K184" s="37">
        <f t="shared" si="4"/>
        <v>36750</v>
      </c>
      <c r="L184" s="37">
        <f t="shared" si="5"/>
        <v>45881</v>
      </c>
    </row>
    <row r="185">
      <c r="A185" s="1">
        <v>184.0</v>
      </c>
      <c r="B185" s="1">
        <v>9.30900009E8</v>
      </c>
      <c r="C185" s="1" t="s">
        <v>851</v>
      </c>
      <c r="D185" s="1" t="s">
        <v>852</v>
      </c>
      <c r="E185" s="1" t="s">
        <v>700</v>
      </c>
      <c r="F185" s="36">
        <v>45565.0</v>
      </c>
      <c r="G185" s="1">
        <v>3.0</v>
      </c>
      <c r="H185" s="8" t="str">
        <f t="shared" si="1"/>
        <v>2000</v>
      </c>
      <c r="I185" s="8" t="str">
        <f t="shared" si="2"/>
        <v>04</v>
      </c>
      <c r="J185" s="8" t="str">
        <f t="shared" si="3"/>
        <v>02</v>
      </c>
      <c r="K185" s="37">
        <f t="shared" si="4"/>
        <v>36618</v>
      </c>
      <c r="L185" s="37">
        <f t="shared" si="5"/>
        <v>45749</v>
      </c>
    </row>
    <row r="186">
      <c r="A186" s="1">
        <v>185.0</v>
      </c>
      <c r="B186" s="1">
        <v>9.30100014E8</v>
      </c>
      <c r="C186" s="1" t="s">
        <v>853</v>
      </c>
      <c r="D186" s="1" t="s">
        <v>854</v>
      </c>
      <c r="E186" s="1" t="s">
        <v>717</v>
      </c>
      <c r="F186" s="36">
        <v>45565.0</v>
      </c>
      <c r="G186" s="1">
        <v>3.0</v>
      </c>
      <c r="H186" s="8" t="str">
        <f t="shared" si="1"/>
        <v>2000</v>
      </c>
      <c r="I186" s="8" t="str">
        <f t="shared" si="2"/>
        <v>02</v>
      </c>
      <c r="J186" s="8" t="str">
        <f t="shared" si="3"/>
        <v>29</v>
      </c>
      <c r="K186" s="37">
        <f t="shared" si="4"/>
        <v>36585</v>
      </c>
      <c r="L186" s="37">
        <f t="shared" si="5"/>
        <v>45717</v>
      </c>
    </row>
    <row r="187">
      <c r="A187" s="1">
        <v>186.0</v>
      </c>
      <c r="B187" s="1">
        <v>9.30500008E8</v>
      </c>
      <c r="C187" s="1" t="s">
        <v>855</v>
      </c>
      <c r="D187" s="1" t="s">
        <v>856</v>
      </c>
      <c r="E187" s="1" t="s">
        <v>700</v>
      </c>
      <c r="F187" s="36">
        <v>45565.0</v>
      </c>
      <c r="G187" s="1">
        <v>3.0</v>
      </c>
      <c r="H187" s="8" t="str">
        <f t="shared" si="1"/>
        <v>2000</v>
      </c>
      <c r="I187" s="8" t="str">
        <f t="shared" si="2"/>
        <v>06</v>
      </c>
      <c r="J187" s="8" t="str">
        <f t="shared" si="3"/>
        <v>14</v>
      </c>
      <c r="K187" s="37">
        <f t="shared" si="4"/>
        <v>36691</v>
      </c>
      <c r="L187" s="37">
        <f t="shared" si="5"/>
        <v>45822</v>
      </c>
    </row>
    <row r="188">
      <c r="A188" s="1">
        <v>187.0</v>
      </c>
      <c r="B188" s="1">
        <v>2.31200002E8</v>
      </c>
      <c r="C188" s="1" t="s">
        <v>857</v>
      </c>
      <c r="D188" s="1" t="s">
        <v>858</v>
      </c>
      <c r="E188" s="1" t="s">
        <v>717</v>
      </c>
      <c r="F188" s="36">
        <v>45565.0</v>
      </c>
      <c r="G188" s="1">
        <v>3.0</v>
      </c>
      <c r="H188" s="8" t="str">
        <f t="shared" si="1"/>
        <v>2000</v>
      </c>
      <c r="I188" s="8" t="str">
        <f t="shared" si="2"/>
        <v>06</v>
      </c>
      <c r="J188" s="8" t="str">
        <f t="shared" si="3"/>
        <v>03</v>
      </c>
      <c r="K188" s="37">
        <f t="shared" si="4"/>
        <v>36680</v>
      </c>
      <c r="L188" s="37">
        <f t="shared" si="5"/>
        <v>45811</v>
      </c>
    </row>
    <row r="189">
      <c r="A189" s="1">
        <v>188.0</v>
      </c>
      <c r="B189" s="1">
        <v>9.30100056E8</v>
      </c>
      <c r="C189" s="1" t="s">
        <v>432</v>
      </c>
      <c r="D189" s="1" t="s">
        <v>859</v>
      </c>
      <c r="E189" s="1" t="s">
        <v>700</v>
      </c>
      <c r="F189" s="36">
        <v>45565.0</v>
      </c>
      <c r="G189" s="1">
        <v>3.0</v>
      </c>
      <c r="H189" s="8" t="str">
        <f t="shared" si="1"/>
        <v>2000</v>
      </c>
      <c r="I189" s="8" t="str">
        <f t="shared" si="2"/>
        <v>05</v>
      </c>
      <c r="J189" s="8" t="str">
        <f t="shared" si="3"/>
        <v>18</v>
      </c>
      <c r="K189" s="37">
        <f t="shared" si="4"/>
        <v>36664</v>
      </c>
      <c r="L189" s="37">
        <f t="shared" si="5"/>
        <v>45795</v>
      </c>
    </row>
    <row r="190">
      <c r="A190" s="1">
        <v>189.0</v>
      </c>
      <c r="B190" s="1">
        <v>9.30100071E8</v>
      </c>
      <c r="C190" s="1" t="s">
        <v>860</v>
      </c>
      <c r="D190" s="1" t="s">
        <v>861</v>
      </c>
      <c r="E190" s="1" t="s">
        <v>717</v>
      </c>
      <c r="F190" s="36">
        <v>45565.0</v>
      </c>
      <c r="G190" s="1">
        <v>3.0</v>
      </c>
      <c r="H190" s="8" t="str">
        <f t="shared" si="1"/>
        <v>2000</v>
      </c>
      <c r="I190" s="8" t="str">
        <f t="shared" si="2"/>
        <v>11</v>
      </c>
      <c r="J190" s="8" t="str">
        <f t="shared" si="3"/>
        <v>30</v>
      </c>
      <c r="K190" s="37">
        <f t="shared" si="4"/>
        <v>36860</v>
      </c>
      <c r="L190" s="37">
        <f t="shared" si="5"/>
        <v>45991</v>
      </c>
    </row>
    <row r="191">
      <c r="A191" s="1">
        <v>190.0</v>
      </c>
      <c r="B191" s="1">
        <v>2.31400001E8</v>
      </c>
      <c r="C191" s="1" t="s">
        <v>862</v>
      </c>
      <c r="D191" s="1" t="s">
        <v>863</v>
      </c>
      <c r="E191" s="1" t="s">
        <v>700</v>
      </c>
      <c r="F191" s="36">
        <v>45565.0</v>
      </c>
      <c r="G191" s="1">
        <v>3.0</v>
      </c>
      <c r="H191" s="8" t="str">
        <f t="shared" si="1"/>
        <v>2000</v>
      </c>
      <c r="I191" s="8" t="str">
        <f t="shared" si="2"/>
        <v>11</v>
      </c>
      <c r="J191" s="8" t="str">
        <f t="shared" si="3"/>
        <v>01</v>
      </c>
      <c r="K191" s="37">
        <f t="shared" si="4"/>
        <v>36831</v>
      </c>
      <c r="L191" s="37">
        <f t="shared" si="5"/>
        <v>45962</v>
      </c>
    </row>
    <row r="192">
      <c r="A192" s="1">
        <v>191.0</v>
      </c>
      <c r="B192" s="1">
        <v>9.30100026E8</v>
      </c>
      <c r="C192" s="1" t="s">
        <v>864</v>
      </c>
      <c r="D192" s="1" t="s">
        <v>865</v>
      </c>
      <c r="E192" s="1" t="s">
        <v>700</v>
      </c>
      <c r="F192" s="36">
        <v>45565.0</v>
      </c>
      <c r="G192" s="1">
        <v>3.0</v>
      </c>
      <c r="H192" s="8" t="str">
        <f t="shared" si="1"/>
        <v>2000</v>
      </c>
      <c r="I192" s="8" t="str">
        <f t="shared" si="2"/>
        <v>07</v>
      </c>
      <c r="J192" s="8" t="str">
        <f t="shared" si="3"/>
        <v>19</v>
      </c>
      <c r="K192" s="37">
        <f t="shared" si="4"/>
        <v>36726</v>
      </c>
      <c r="L192" s="37">
        <f t="shared" si="5"/>
        <v>45857</v>
      </c>
    </row>
    <row r="193">
      <c r="A193" s="1">
        <v>192.0</v>
      </c>
      <c r="B193" s="1">
        <v>9.30400012E8</v>
      </c>
      <c r="C193" s="1" t="s">
        <v>866</v>
      </c>
      <c r="D193" s="1" t="s">
        <v>867</v>
      </c>
      <c r="E193" s="1" t="s">
        <v>700</v>
      </c>
      <c r="F193" s="36">
        <v>45565.0</v>
      </c>
      <c r="G193" s="1">
        <v>3.0</v>
      </c>
      <c r="H193" s="8" t="str">
        <f t="shared" si="1"/>
        <v>2000</v>
      </c>
      <c r="I193" s="8" t="str">
        <f t="shared" si="2"/>
        <v>02</v>
      </c>
      <c r="J193" s="8" t="str">
        <f t="shared" si="3"/>
        <v>23</v>
      </c>
      <c r="K193" s="37">
        <f t="shared" si="4"/>
        <v>36579</v>
      </c>
      <c r="L193" s="37">
        <f t="shared" si="5"/>
        <v>45711</v>
      </c>
    </row>
    <row r="194">
      <c r="A194" s="1">
        <v>193.0</v>
      </c>
      <c r="B194" s="1">
        <v>9.30500006E8</v>
      </c>
      <c r="C194" s="1" t="s">
        <v>433</v>
      </c>
      <c r="D194" s="1" t="s">
        <v>868</v>
      </c>
      <c r="E194" s="1" t="s">
        <v>700</v>
      </c>
      <c r="F194" s="36">
        <v>45565.0</v>
      </c>
      <c r="G194" s="1">
        <v>3.0</v>
      </c>
      <c r="H194" s="8" t="str">
        <f t="shared" si="1"/>
        <v>2000</v>
      </c>
      <c r="I194" s="8" t="str">
        <f t="shared" si="2"/>
        <v>03</v>
      </c>
      <c r="J194" s="8" t="str">
        <f t="shared" si="3"/>
        <v>22</v>
      </c>
      <c r="K194" s="37">
        <f t="shared" si="4"/>
        <v>36607</v>
      </c>
      <c r="L194" s="37">
        <f t="shared" si="5"/>
        <v>45738</v>
      </c>
    </row>
    <row r="195">
      <c r="A195" s="1">
        <v>194.0</v>
      </c>
      <c r="B195" s="1">
        <v>9.30200007E8</v>
      </c>
      <c r="C195" s="1" t="s">
        <v>869</v>
      </c>
      <c r="D195" s="1" t="s">
        <v>870</v>
      </c>
      <c r="E195" s="1" t="s">
        <v>700</v>
      </c>
      <c r="F195" s="36">
        <v>45565.0</v>
      </c>
      <c r="G195" s="1">
        <v>3.0</v>
      </c>
      <c r="H195" s="8" t="str">
        <f t="shared" si="1"/>
        <v>2000</v>
      </c>
      <c r="I195" s="8" t="str">
        <f t="shared" si="2"/>
        <v>10</v>
      </c>
      <c r="J195" s="8" t="str">
        <f t="shared" si="3"/>
        <v>04</v>
      </c>
      <c r="K195" s="37">
        <f t="shared" si="4"/>
        <v>36803</v>
      </c>
      <c r="L195" s="37">
        <f t="shared" si="5"/>
        <v>45934</v>
      </c>
    </row>
    <row r="196">
      <c r="A196" s="1">
        <v>195.0</v>
      </c>
      <c r="B196" s="1">
        <v>9.30100019E8</v>
      </c>
      <c r="C196" s="1" t="s">
        <v>871</v>
      </c>
      <c r="D196" s="1" t="s">
        <v>872</v>
      </c>
      <c r="E196" s="1" t="s">
        <v>700</v>
      </c>
      <c r="F196" s="36">
        <v>45565.0</v>
      </c>
      <c r="G196" s="1">
        <v>3.0</v>
      </c>
      <c r="H196" s="8" t="str">
        <f t="shared" si="1"/>
        <v>2000</v>
      </c>
      <c r="I196" s="8" t="str">
        <f t="shared" si="2"/>
        <v>05</v>
      </c>
      <c r="J196" s="8" t="str">
        <f t="shared" si="3"/>
        <v>13</v>
      </c>
      <c r="K196" s="37">
        <f t="shared" si="4"/>
        <v>36659</v>
      </c>
      <c r="L196" s="37">
        <f t="shared" si="5"/>
        <v>45790</v>
      </c>
    </row>
    <row r="197">
      <c r="A197" s="1">
        <v>196.0</v>
      </c>
      <c r="B197" s="1">
        <v>2.31100001E8</v>
      </c>
      <c r="C197" s="1" t="s">
        <v>436</v>
      </c>
      <c r="D197" s="1" t="s">
        <v>873</v>
      </c>
      <c r="E197" s="1" t="s">
        <v>745</v>
      </c>
      <c r="F197" s="36">
        <v>45565.0</v>
      </c>
      <c r="G197" s="1">
        <v>3.0</v>
      </c>
      <c r="H197" s="8" t="str">
        <f t="shared" si="1"/>
        <v>2001</v>
      </c>
      <c r="I197" s="8" t="str">
        <f t="shared" si="2"/>
        <v>05</v>
      </c>
      <c r="J197" s="8" t="str">
        <f t="shared" si="3"/>
        <v>17</v>
      </c>
      <c r="K197" s="37">
        <f t="shared" si="4"/>
        <v>37028</v>
      </c>
      <c r="L197" s="37">
        <f t="shared" si="5"/>
        <v>45794</v>
      </c>
    </row>
    <row r="198">
      <c r="A198" s="1">
        <v>197.0</v>
      </c>
      <c r="B198" s="1">
        <v>2.30200007E8</v>
      </c>
      <c r="C198" s="1" t="s">
        <v>874</v>
      </c>
      <c r="D198" s="1" t="s">
        <v>875</v>
      </c>
      <c r="E198" s="1" t="s">
        <v>700</v>
      </c>
      <c r="F198" s="36">
        <v>45565.0</v>
      </c>
      <c r="G198" s="1">
        <v>3.0</v>
      </c>
      <c r="H198" s="8" t="str">
        <f t="shared" si="1"/>
        <v>2000</v>
      </c>
      <c r="I198" s="8" t="str">
        <f t="shared" si="2"/>
        <v>03</v>
      </c>
      <c r="J198" s="8" t="str">
        <f t="shared" si="3"/>
        <v>06</v>
      </c>
      <c r="K198" s="37">
        <f t="shared" si="4"/>
        <v>36591</v>
      </c>
      <c r="L198" s="37">
        <f t="shared" si="5"/>
        <v>45722</v>
      </c>
    </row>
    <row r="199">
      <c r="A199" s="1">
        <v>198.0</v>
      </c>
      <c r="B199" s="1">
        <v>9.30900011E8</v>
      </c>
      <c r="C199" s="1" t="s">
        <v>876</v>
      </c>
      <c r="D199" s="1" t="s">
        <v>877</v>
      </c>
      <c r="E199" s="1" t="s">
        <v>700</v>
      </c>
      <c r="F199" s="36">
        <v>45565.0</v>
      </c>
      <c r="G199" s="1">
        <v>3.0</v>
      </c>
      <c r="H199" s="8" t="str">
        <f t="shared" si="1"/>
        <v>2001</v>
      </c>
      <c r="I199" s="8" t="str">
        <f t="shared" si="2"/>
        <v>03</v>
      </c>
      <c r="J199" s="8" t="str">
        <f t="shared" si="3"/>
        <v>23</v>
      </c>
      <c r="K199" s="37">
        <f t="shared" si="4"/>
        <v>36973</v>
      </c>
      <c r="L199" s="37">
        <f t="shared" si="5"/>
        <v>45739</v>
      </c>
    </row>
    <row r="200">
      <c r="A200" s="1">
        <v>199.0</v>
      </c>
      <c r="B200" s="1">
        <v>2.30200005E8</v>
      </c>
      <c r="C200" s="1" t="s">
        <v>155</v>
      </c>
      <c r="D200" s="1" t="s">
        <v>878</v>
      </c>
      <c r="E200" s="1" t="s">
        <v>700</v>
      </c>
      <c r="F200" s="36">
        <v>45565.0</v>
      </c>
      <c r="G200" s="1">
        <v>3.0</v>
      </c>
      <c r="H200" s="8" t="str">
        <f t="shared" si="1"/>
        <v>2001</v>
      </c>
      <c r="I200" s="8" t="str">
        <f t="shared" si="2"/>
        <v>01</v>
      </c>
      <c r="J200" s="8" t="str">
        <f t="shared" si="3"/>
        <v>04</v>
      </c>
      <c r="K200" s="37">
        <f t="shared" si="4"/>
        <v>36895</v>
      </c>
      <c r="L200" s="37">
        <f t="shared" si="5"/>
        <v>45661</v>
      </c>
    </row>
    <row r="201">
      <c r="A201" s="1">
        <v>200.0</v>
      </c>
      <c r="B201" s="1">
        <v>9.30100012E8</v>
      </c>
      <c r="C201" s="1" t="s">
        <v>879</v>
      </c>
      <c r="D201" s="1" t="s">
        <v>880</v>
      </c>
      <c r="E201" s="1" t="s">
        <v>700</v>
      </c>
      <c r="F201" s="36">
        <v>45565.0</v>
      </c>
      <c r="G201" s="1">
        <v>3.0</v>
      </c>
      <c r="H201" s="8" t="str">
        <f t="shared" si="1"/>
        <v>2000</v>
      </c>
      <c r="I201" s="8" t="str">
        <f t="shared" si="2"/>
        <v>02</v>
      </c>
      <c r="J201" s="8" t="str">
        <f t="shared" si="3"/>
        <v>24</v>
      </c>
      <c r="K201" s="37">
        <f t="shared" si="4"/>
        <v>36580</v>
      </c>
      <c r="L201" s="37">
        <f t="shared" si="5"/>
        <v>45712</v>
      </c>
    </row>
    <row r="202">
      <c r="A202" s="1">
        <v>201.0</v>
      </c>
      <c r="B202" s="1">
        <v>9.30500007E8</v>
      </c>
      <c r="C202" s="1" t="s">
        <v>881</v>
      </c>
      <c r="D202" s="1" t="s">
        <v>882</v>
      </c>
      <c r="E202" s="1" t="s">
        <v>700</v>
      </c>
      <c r="F202" s="36">
        <v>45565.0</v>
      </c>
      <c r="G202" s="1">
        <v>3.0</v>
      </c>
      <c r="H202" s="8" t="str">
        <f t="shared" si="1"/>
        <v>2001</v>
      </c>
      <c r="I202" s="8" t="str">
        <f t="shared" si="2"/>
        <v>05</v>
      </c>
      <c r="J202" s="8" t="str">
        <f t="shared" si="3"/>
        <v>26</v>
      </c>
      <c r="K202" s="37">
        <f t="shared" si="4"/>
        <v>37037</v>
      </c>
      <c r="L202" s="37">
        <f t="shared" si="5"/>
        <v>45803</v>
      </c>
    </row>
    <row r="203">
      <c r="A203" s="1">
        <v>202.0</v>
      </c>
      <c r="B203" s="1">
        <v>9.30100035E8</v>
      </c>
      <c r="C203" s="1" t="s">
        <v>883</v>
      </c>
      <c r="D203" s="1" t="s">
        <v>884</v>
      </c>
      <c r="E203" s="1" t="s">
        <v>700</v>
      </c>
      <c r="F203" s="36">
        <v>45565.0</v>
      </c>
      <c r="G203" s="1">
        <v>3.0</v>
      </c>
      <c r="H203" s="8" t="str">
        <f t="shared" si="1"/>
        <v>2001</v>
      </c>
      <c r="I203" s="8" t="str">
        <f t="shared" si="2"/>
        <v>02</v>
      </c>
      <c r="J203" s="8" t="str">
        <f t="shared" si="3"/>
        <v>11</v>
      </c>
      <c r="K203" s="37">
        <f t="shared" si="4"/>
        <v>36933</v>
      </c>
      <c r="L203" s="37">
        <f t="shared" si="5"/>
        <v>45699</v>
      </c>
    </row>
    <row r="204">
      <c r="A204" s="1">
        <v>203.0</v>
      </c>
      <c r="B204" s="1">
        <v>9.30100031E8</v>
      </c>
      <c r="C204" s="1" t="s">
        <v>885</v>
      </c>
      <c r="D204" s="1" t="s">
        <v>886</v>
      </c>
      <c r="E204" s="1" t="s">
        <v>700</v>
      </c>
      <c r="F204" s="36">
        <v>45565.0</v>
      </c>
      <c r="G204" s="1">
        <v>3.0</v>
      </c>
      <c r="H204" s="8" t="str">
        <f t="shared" si="1"/>
        <v>2000</v>
      </c>
      <c r="I204" s="8" t="str">
        <f t="shared" si="2"/>
        <v>03</v>
      </c>
      <c r="J204" s="8" t="str">
        <f t="shared" si="3"/>
        <v>23</v>
      </c>
      <c r="K204" s="37">
        <f t="shared" si="4"/>
        <v>36608</v>
      </c>
      <c r="L204" s="37">
        <f t="shared" si="5"/>
        <v>45739</v>
      </c>
    </row>
    <row r="205">
      <c r="A205" s="1">
        <v>204.0</v>
      </c>
      <c r="B205" s="1">
        <v>9.30700003E8</v>
      </c>
      <c r="C205" s="1" t="s">
        <v>439</v>
      </c>
      <c r="D205" s="1" t="s">
        <v>887</v>
      </c>
      <c r="E205" s="1" t="s">
        <v>700</v>
      </c>
      <c r="F205" s="36">
        <v>45565.0</v>
      </c>
      <c r="G205" s="1">
        <v>3.0</v>
      </c>
      <c r="H205" s="8" t="str">
        <f t="shared" si="1"/>
        <v>1999</v>
      </c>
      <c r="I205" s="8" t="str">
        <f t="shared" si="2"/>
        <v>11</v>
      </c>
      <c r="J205" s="8" t="str">
        <f t="shared" si="3"/>
        <v>05</v>
      </c>
      <c r="K205" s="37">
        <f t="shared" si="4"/>
        <v>36469</v>
      </c>
      <c r="L205" s="37">
        <f t="shared" si="5"/>
        <v>45966</v>
      </c>
    </row>
    <row r="206">
      <c r="A206" s="1">
        <v>205.0</v>
      </c>
      <c r="B206" s="1">
        <v>9.30100016E8</v>
      </c>
      <c r="C206" s="1" t="s">
        <v>888</v>
      </c>
      <c r="D206" s="1" t="s">
        <v>889</v>
      </c>
      <c r="E206" s="1" t="s">
        <v>700</v>
      </c>
      <c r="F206" s="36">
        <v>45565.0</v>
      </c>
      <c r="G206" s="1">
        <v>3.0</v>
      </c>
      <c r="H206" s="8" t="str">
        <f t="shared" si="1"/>
        <v>1999</v>
      </c>
      <c r="I206" s="8" t="str">
        <f t="shared" si="2"/>
        <v>11</v>
      </c>
      <c r="J206" s="8" t="str">
        <f t="shared" si="3"/>
        <v>22</v>
      </c>
      <c r="K206" s="37">
        <f t="shared" si="4"/>
        <v>36486</v>
      </c>
      <c r="L206" s="37">
        <f t="shared" si="5"/>
        <v>45983</v>
      </c>
    </row>
    <row r="207">
      <c r="A207" s="1">
        <v>206.0</v>
      </c>
      <c r="B207" s="1">
        <v>9.30100053E8</v>
      </c>
      <c r="C207" s="1" t="s">
        <v>104</v>
      </c>
      <c r="D207" s="1" t="s">
        <v>890</v>
      </c>
      <c r="E207" s="1" t="s">
        <v>700</v>
      </c>
      <c r="F207" s="36">
        <v>45565.0</v>
      </c>
      <c r="G207" s="1">
        <v>3.0</v>
      </c>
      <c r="H207" s="8" t="str">
        <f t="shared" si="1"/>
        <v>2000</v>
      </c>
      <c r="I207" s="8" t="str">
        <f t="shared" si="2"/>
        <v>01</v>
      </c>
      <c r="J207" s="8" t="str">
        <f t="shared" si="3"/>
        <v>07</v>
      </c>
      <c r="K207" s="37">
        <f t="shared" si="4"/>
        <v>36532</v>
      </c>
      <c r="L207" s="37">
        <f t="shared" si="5"/>
        <v>45664</v>
      </c>
    </row>
    <row r="208">
      <c r="A208" s="1">
        <v>207.0</v>
      </c>
      <c r="B208" s="1">
        <v>1.331100002E9</v>
      </c>
      <c r="C208" s="1" t="s">
        <v>891</v>
      </c>
      <c r="D208" s="1" t="s">
        <v>892</v>
      </c>
      <c r="E208" s="1" t="s">
        <v>893</v>
      </c>
      <c r="F208" s="36">
        <v>45565.0</v>
      </c>
      <c r="G208" s="1">
        <v>3.0</v>
      </c>
      <c r="H208" s="8" t="str">
        <f t="shared" si="1"/>
        <v>2001</v>
      </c>
      <c r="I208" s="8" t="str">
        <f t="shared" si="2"/>
        <v>01</v>
      </c>
      <c r="J208" s="8" t="str">
        <f t="shared" si="3"/>
        <v>04</v>
      </c>
      <c r="K208" s="37">
        <f t="shared" si="4"/>
        <v>36895</v>
      </c>
      <c r="L208" s="37">
        <f t="shared" si="5"/>
        <v>45661</v>
      </c>
    </row>
    <row r="209">
      <c r="A209" s="1">
        <v>208.0</v>
      </c>
      <c r="B209" s="1">
        <v>6.31100004E8</v>
      </c>
      <c r="C209" s="1" t="s">
        <v>894</v>
      </c>
      <c r="D209" s="1" t="s">
        <v>895</v>
      </c>
      <c r="E209" s="1" t="s">
        <v>893</v>
      </c>
      <c r="F209" s="36">
        <v>45565.0</v>
      </c>
      <c r="G209" s="1">
        <v>3.0</v>
      </c>
      <c r="H209" s="8" t="str">
        <f t="shared" si="1"/>
        <v>1999</v>
      </c>
      <c r="I209" s="8" t="str">
        <f t="shared" si="2"/>
        <v>11</v>
      </c>
      <c r="J209" s="8" t="str">
        <f t="shared" si="3"/>
        <v>13</v>
      </c>
      <c r="K209" s="37">
        <f t="shared" si="4"/>
        <v>36477</v>
      </c>
      <c r="L209" s="37">
        <f t="shared" si="5"/>
        <v>45974</v>
      </c>
    </row>
    <row r="210">
      <c r="A210" s="1">
        <v>209.0</v>
      </c>
      <c r="B210" s="1">
        <v>1.330100022E9</v>
      </c>
      <c r="C210" s="1" t="s">
        <v>896</v>
      </c>
      <c r="D210" s="1" t="s">
        <v>897</v>
      </c>
      <c r="E210" s="1" t="s">
        <v>893</v>
      </c>
      <c r="F210" s="36">
        <v>45565.0</v>
      </c>
      <c r="G210" s="1">
        <v>3.0</v>
      </c>
      <c r="H210" s="8" t="str">
        <f t="shared" si="1"/>
        <v>2000</v>
      </c>
      <c r="I210" s="8" t="str">
        <f t="shared" si="2"/>
        <v>01</v>
      </c>
      <c r="J210" s="8" t="str">
        <f t="shared" si="3"/>
        <v>02</v>
      </c>
      <c r="K210" s="37">
        <f t="shared" si="4"/>
        <v>36527</v>
      </c>
      <c r="L210" s="37">
        <f t="shared" si="5"/>
        <v>45659</v>
      </c>
    </row>
    <row r="211">
      <c r="A211" s="1">
        <v>210.0</v>
      </c>
      <c r="B211" s="1">
        <v>1.330100035E9</v>
      </c>
      <c r="C211" s="1" t="s">
        <v>898</v>
      </c>
      <c r="D211" s="1" t="s">
        <v>899</v>
      </c>
      <c r="E211" s="1" t="s">
        <v>893</v>
      </c>
      <c r="F211" s="36">
        <v>45565.0</v>
      </c>
      <c r="G211" s="1">
        <v>3.0</v>
      </c>
      <c r="H211" s="8" t="str">
        <f t="shared" si="1"/>
        <v>2000</v>
      </c>
      <c r="I211" s="8" t="str">
        <f t="shared" si="2"/>
        <v>04</v>
      </c>
      <c r="J211" s="8" t="str">
        <f t="shared" si="3"/>
        <v>25</v>
      </c>
      <c r="K211" s="37">
        <f t="shared" si="4"/>
        <v>36641</v>
      </c>
      <c r="L211" s="37">
        <f t="shared" si="5"/>
        <v>45772</v>
      </c>
    </row>
    <row r="212">
      <c r="A212" s="1">
        <v>211.0</v>
      </c>
      <c r="B212" s="1">
        <v>6.30200007E8</v>
      </c>
      <c r="C212" s="1" t="s">
        <v>900</v>
      </c>
      <c r="D212" s="1" t="s">
        <v>901</v>
      </c>
      <c r="E212" s="1" t="s">
        <v>893</v>
      </c>
      <c r="F212" s="36">
        <v>45565.0</v>
      </c>
      <c r="G212" s="1">
        <v>3.0</v>
      </c>
      <c r="H212" s="8" t="str">
        <f t="shared" si="1"/>
        <v>1999</v>
      </c>
      <c r="I212" s="8" t="str">
        <f t="shared" si="2"/>
        <v>11</v>
      </c>
      <c r="J212" s="8" t="str">
        <f t="shared" si="3"/>
        <v>08</v>
      </c>
      <c r="K212" s="37">
        <f t="shared" si="4"/>
        <v>36472</v>
      </c>
      <c r="L212" s="37">
        <f t="shared" si="5"/>
        <v>45969</v>
      </c>
    </row>
    <row r="213">
      <c r="A213" s="1">
        <v>212.0</v>
      </c>
      <c r="B213" s="1">
        <v>1.330200001E9</v>
      </c>
      <c r="C213" s="1" t="s">
        <v>902</v>
      </c>
      <c r="D213" s="1" t="s">
        <v>903</v>
      </c>
      <c r="E213" s="1" t="s">
        <v>893</v>
      </c>
      <c r="F213" s="36">
        <v>45565.0</v>
      </c>
      <c r="G213" s="1">
        <v>3.0</v>
      </c>
      <c r="H213" s="8" t="str">
        <f t="shared" si="1"/>
        <v>2000</v>
      </c>
      <c r="I213" s="8" t="str">
        <f t="shared" si="2"/>
        <v>01</v>
      </c>
      <c r="J213" s="8" t="str">
        <f t="shared" si="3"/>
        <v>09</v>
      </c>
      <c r="K213" s="37">
        <f t="shared" si="4"/>
        <v>36534</v>
      </c>
      <c r="L213" s="37">
        <f t="shared" si="5"/>
        <v>45666</v>
      </c>
    </row>
    <row r="214">
      <c r="A214" s="1">
        <v>213.0</v>
      </c>
      <c r="B214" s="1">
        <v>1.330100038E9</v>
      </c>
      <c r="C214" s="1" t="s">
        <v>904</v>
      </c>
      <c r="D214" s="1" t="s">
        <v>905</v>
      </c>
      <c r="E214" s="1" t="s">
        <v>893</v>
      </c>
      <c r="F214" s="36">
        <v>45565.0</v>
      </c>
      <c r="G214" s="1">
        <v>3.0</v>
      </c>
      <c r="H214" s="8" t="str">
        <f t="shared" si="1"/>
        <v>2000</v>
      </c>
      <c r="I214" s="8" t="str">
        <f t="shared" si="2"/>
        <v>05</v>
      </c>
      <c r="J214" s="8" t="str">
        <f t="shared" si="3"/>
        <v>19</v>
      </c>
      <c r="K214" s="37">
        <f t="shared" si="4"/>
        <v>36665</v>
      </c>
      <c r="L214" s="37">
        <f t="shared" si="5"/>
        <v>45796</v>
      </c>
    </row>
    <row r="215">
      <c r="A215" s="1">
        <v>214.0</v>
      </c>
      <c r="B215" s="1">
        <v>1.330500006E9</v>
      </c>
      <c r="C215" s="1" t="s">
        <v>906</v>
      </c>
      <c r="D215" s="1" t="s">
        <v>907</v>
      </c>
      <c r="E215" s="1" t="s">
        <v>893</v>
      </c>
      <c r="F215" s="36">
        <v>45565.0</v>
      </c>
      <c r="G215" s="1">
        <v>3.0</v>
      </c>
      <c r="H215" s="8" t="str">
        <f t="shared" si="1"/>
        <v>2000</v>
      </c>
      <c r="I215" s="8" t="str">
        <f t="shared" si="2"/>
        <v>11</v>
      </c>
      <c r="J215" s="8" t="str">
        <f t="shared" si="3"/>
        <v>13</v>
      </c>
      <c r="K215" s="37">
        <f t="shared" si="4"/>
        <v>36843</v>
      </c>
      <c r="L215" s="37">
        <f t="shared" si="5"/>
        <v>45974</v>
      </c>
    </row>
    <row r="216">
      <c r="A216" s="1">
        <v>215.0</v>
      </c>
      <c r="B216" s="1">
        <v>1.330100039E9</v>
      </c>
      <c r="C216" s="1" t="s">
        <v>908</v>
      </c>
      <c r="D216" s="1" t="s">
        <v>909</v>
      </c>
      <c r="E216" s="1" t="s">
        <v>893</v>
      </c>
      <c r="F216" s="36">
        <v>45565.0</v>
      </c>
      <c r="G216" s="1">
        <v>3.0</v>
      </c>
      <c r="H216" s="8" t="str">
        <f t="shared" si="1"/>
        <v>2000</v>
      </c>
      <c r="I216" s="8" t="str">
        <f t="shared" si="2"/>
        <v>06</v>
      </c>
      <c r="J216" s="8" t="str">
        <f t="shared" si="3"/>
        <v>16</v>
      </c>
      <c r="K216" s="37">
        <f t="shared" si="4"/>
        <v>36693</v>
      </c>
      <c r="L216" s="37">
        <f t="shared" si="5"/>
        <v>45824</v>
      </c>
    </row>
    <row r="217">
      <c r="A217" s="1">
        <v>216.0</v>
      </c>
      <c r="B217" s="1">
        <v>6.30600001E8</v>
      </c>
      <c r="C217" s="1" t="s">
        <v>910</v>
      </c>
      <c r="D217" s="1" t="s">
        <v>911</v>
      </c>
      <c r="E217" s="1" t="s">
        <v>893</v>
      </c>
      <c r="F217" s="36">
        <v>45565.0</v>
      </c>
      <c r="G217" s="1">
        <v>3.0</v>
      </c>
      <c r="H217" s="8" t="str">
        <f t="shared" si="1"/>
        <v>2000</v>
      </c>
      <c r="I217" s="8" t="str">
        <f t="shared" si="2"/>
        <v>10</v>
      </c>
      <c r="J217" s="8" t="str">
        <f t="shared" si="3"/>
        <v>28</v>
      </c>
      <c r="K217" s="37">
        <f t="shared" si="4"/>
        <v>36827</v>
      </c>
      <c r="L217" s="37">
        <f t="shared" si="5"/>
        <v>45958</v>
      </c>
    </row>
    <row r="218">
      <c r="A218" s="1">
        <v>217.0</v>
      </c>
      <c r="B218" s="1">
        <v>1.33010002E9</v>
      </c>
      <c r="C218" s="1" t="s">
        <v>912</v>
      </c>
      <c r="D218" s="1" t="s">
        <v>913</v>
      </c>
      <c r="E218" s="1" t="s">
        <v>914</v>
      </c>
      <c r="F218" s="36">
        <v>45565.0</v>
      </c>
      <c r="G218" s="1">
        <v>4.0</v>
      </c>
      <c r="H218" s="8" t="str">
        <f t="shared" si="1"/>
        <v>2000</v>
      </c>
      <c r="I218" s="8" t="str">
        <f t="shared" si="2"/>
        <v>11</v>
      </c>
      <c r="J218" s="8" t="str">
        <f t="shared" si="3"/>
        <v>05</v>
      </c>
      <c r="K218" s="37">
        <f t="shared" si="4"/>
        <v>36835</v>
      </c>
      <c r="L218" s="37">
        <f t="shared" si="5"/>
        <v>45966</v>
      </c>
    </row>
    <row r="219">
      <c r="A219" s="1">
        <v>218.0</v>
      </c>
      <c r="B219" s="1">
        <v>1.33010001E9</v>
      </c>
      <c r="C219" s="1" t="s">
        <v>915</v>
      </c>
      <c r="D219" s="1" t="s">
        <v>916</v>
      </c>
      <c r="E219" s="1" t="s">
        <v>893</v>
      </c>
      <c r="F219" s="36">
        <v>45565.0</v>
      </c>
      <c r="G219" s="1">
        <v>4.0</v>
      </c>
      <c r="H219" s="8" t="str">
        <f t="shared" si="1"/>
        <v>1999</v>
      </c>
      <c r="I219" s="8" t="str">
        <f t="shared" si="2"/>
        <v>11</v>
      </c>
      <c r="J219" s="8" t="str">
        <f t="shared" si="3"/>
        <v>21</v>
      </c>
      <c r="K219" s="37">
        <f t="shared" si="4"/>
        <v>36485</v>
      </c>
      <c r="L219" s="37">
        <f t="shared" si="5"/>
        <v>45982</v>
      </c>
    </row>
    <row r="220">
      <c r="A220" s="1">
        <v>219.0</v>
      </c>
      <c r="B220" s="1">
        <v>1.330100006E9</v>
      </c>
      <c r="C220" s="1" t="s">
        <v>917</v>
      </c>
      <c r="D220" s="1" t="s">
        <v>918</v>
      </c>
      <c r="E220" s="1" t="s">
        <v>893</v>
      </c>
      <c r="F220" s="36">
        <v>45565.0</v>
      </c>
      <c r="G220" s="1">
        <v>4.0</v>
      </c>
      <c r="H220" s="8" t="str">
        <f t="shared" si="1"/>
        <v>2000</v>
      </c>
      <c r="I220" s="8" t="str">
        <f t="shared" si="2"/>
        <v>12</v>
      </c>
      <c r="J220" s="8" t="str">
        <f t="shared" si="3"/>
        <v>02</v>
      </c>
      <c r="K220" s="37">
        <f t="shared" si="4"/>
        <v>36862</v>
      </c>
      <c r="L220" s="37">
        <f t="shared" si="5"/>
        <v>45993</v>
      </c>
    </row>
    <row r="221">
      <c r="A221" s="1">
        <v>220.0</v>
      </c>
      <c r="B221" s="1">
        <v>1.330300005E9</v>
      </c>
      <c r="C221" s="1" t="s">
        <v>919</v>
      </c>
      <c r="D221" s="1" t="s">
        <v>920</v>
      </c>
      <c r="E221" s="1" t="s">
        <v>893</v>
      </c>
      <c r="F221" s="36">
        <v>45565.0</v>
      </c>
      <c r="G221" s="1">
        <v>4.0</v>
      </c>
      <c r="H221" s="8" t="str">
        <f t="shared" si="1"/>
        <v>2000</v>
      </c>
      <c r="I221" s="8" t="str">
        <f t="shared" si="2"/>
        <v>11</v>
      </c>
      <c r="J221" s="8" t="str">
        <f t="shared" si="3"/>
        <v>06</v>
      </c>
      <c r="K221" s="37">
        <f t="shared" si="4"/>
        <v>36836</v>
      </c>
      <c r="L221" s="37">
        <f t="shared" si="5"/>
        <v>45967</v>
      </c>
    </row>
    <row r="222">
      <c r="A222" s="1">
        <v>221.0</v>
      </c>
      <c r="B222" s="1">
        <v>1.330500005E9</v>
      </c>
      <c r="C222" s="1" t="s">
        <v>921</v>
      </c>
      <c r="D222" s="1" t="s">
        <v>922</v>
      </c>
      <c r="E222" s="1" t="s">
        <v>893</v>
      </c>
      <c r="F222" s="36">
        <v>45565.0</v>
      </c>
      <c r="G222" s="1">
        <v>4.0</v>
      </c>
      <c r="H222" s="8" t="str">
        <f t="shared" si="1"/>
        <v>2000</v>
      </c>
      <c r="I222" s="8" t="str">
        <f t="shared" si="2"/>
        <v>07</v>
      </c>
      <c r="J222" s="8" t="str">
        <f t="shared" si="3"/>
        <v>25</v>
      </c>
      <c r="K222" s="37">
        <f t="shared" si="4"/>
        <v>36732</v>
      </c>
      <c r="L222" s="37">
        <f t="shared" si="5"/>
        <v>45863</v>
      </c>
    </row>
    <row r="223">
      <c r="A223" s="1">
        <v>222.0</v>
      </c>
      <c r="B223" s="1">
        <v>1.330900002E9</v>
      </c>
      <c r="C223" s="1" t="s">
        <v>923</v>
      </c>
      <c r="D223" s="1" t="s">
        <v>924</v>
      </c>
      <c r="E223" s="1" t="s">
        <v>893</v>
      </c>
      <c r="F223" s="36">
        <v>45565.0</v>
      </c>
      <c r="G223" s="1">
        <v>4.0</v>
      </c>
      <c r="H223" s="8" t="str">
        <f t="shared" si="1"/>
        <v>2000</v>
      </c>
      <c r="I223" s="8" t="str">
        <f t="shared" si="2"/>
        <v>03</v>
      </c>
      <c r="J223" s="8" t="str">
        <f t="shared" si="3"/>
        <v>07</v>
      </c>
      <c r="K223" s="37">
        <f t="shared" si="4"/>
        <v>36592</v>
      </c>
      <c r="L223" s="37">
        <f t="shared" si="5"/>
        <v>45723</v>
      </c>
    </row>
    <row r="224">
      <c r="A224" s="1">
        <v>223.0</v>
      </c>
      <c r="B224" s="1">
        <v>1.330100002E9</v>
      </c>
      <c r="C224" s="1" t="s">
        <v>925</v>
      </c>
      <c r="D224" s="1" t="s">
        <v>926</v>
      </c>
      <c r="E224" s="1" t="s">
        <v>893</v>
      </c>
      <c r="F224" s="36">
        <v>45565.0</v>
      </c>
      <c r="G224" s="1">
        <v>4.0</v>
      </c>
      <c r="H224" s="8" t="str">
        <f t="shared" si="1"/>
        <v>2000</v>
      </c>
      <c r="I224" s="8" t="str">
        <f t="shared" si="2"/>
        <v>08</v>
      </c>
      <c r="J224" s="8" t="str">
        <f t="shared" si="3"/>
        <v>01</v>
      </c>
      <c r="K224" s="37">
        <f t="shared" si="4"/>
        <v>36739</v>
      </c>
      <c r="L224" s="37">
        <f t="shared" si="5"/>
        <v>45870</v>
      </c>
    </row>
    <row r="225">
      <c r="A225" s="1">
        <v>224.0</v>
      </c>
      <c r="B225" s="1">
        <v>1.330600001E9</v>
      </c>
      <c r="C225" s="1" t="s">
        <v>927</v>
      </c>
      <c r="D225" s="1" t="s">
        <v>928</v>
      </c>
      <c r="E225" s="1" t="s">
        <v>893</v>
      </c>
      <c r="F225" s="36">
        <v>45565.0</v>
      </c>
      <c r="G225" s="1">
        <v>4.0</v>
      </c>
      <c r="H225" s="8" t="str">
        <f t="shared" si="1"/>
        <v>2000</v>
      </c>
      <c r="I225" s="8" t="str">
        <f t="shared" si="2"/>
        <v>05</v>
      </c>
      <c r="J225" s="8" t="str">
        <f t="shared" si="3"/>
        <v>14</v>
      </c>
      <c r="K225" s="37">
        <f t="shared" si="4"/>
        <v>36660</v>
      </c>
      <c r="L225" s="37">
        <f t="shared" si="5"/>
        <v>45791</v>
      </c>
    </row>
    <row r="226">
      <c r="A226" s="1">
        <v>225.0</v>
      </c>
      <c r="B226" s="1">
        <v>6.30200003E8</v>
      </c>
      <c r="C226" s="1" t="s">
        <v>929</v>
      </c>
      <c r="D226" s="1" t="s">
        <v>930</v>
      </c>
      <c r="E226" s="1" t="s">
        <v>893</v>
      </c>
      <c r="F226" s="36">
        <v>45565.0</v>
      </c>
      <c r="G226" s="1">
        <v>4.0</v>
      </c>
      <c r="H226" s="8" t="str">
        <f t="shared" si="1"/>
        <v>2001</v>
      </c>
      <c r="I226" s="8" t="str">
        <f t="shared" si="2"/>
        <v>01</v>
      </c>
      <c r="J226" s="8" t="str">
        <f t="shared" si="3"/>
        <v>17</v>
      </c>
      <c r="K226" s="37">
        <f t="shared" si="4"/>
        <v>36908</v>
      </c>
      <c r="L226" s="37">
        <f t="shared" si="5"/>
        <v>45674</v>
      </c>
    </row>
    <row r="227">
      <c r="A227" s="1">
        <v>226.0</v>
      </c>
      <c r="B227" s="1">
        <v>1.330800004E9</v>
      </c>
      <c r="C227" s="1" t="s">
        <v>931</v>
      </c>
      <c r="D227" s="1" t="s">
        <v>932</v>
      </c>
      <c r="E227" s="1" t="s">
        <v>893</v>
      </c>
      <c r="F227" s="36">
        <v>45565.0</v>
      </c>
      <c r="G227" s="1">
        <v>4.0</v>
      </c>
      <c r="H227" s="8" t="str">
        <f t="shared" si="1"/>
        <v>1999</v>
      </c>
      <c r="I227" s="8" t="str">
        <f t="shared" si="2"/>
        <v>12</v>
      </c>
      <c r="J227" s="8" t="str">
        <f t="shared" si="3"/>
        <v>11</v>
      </c>
      <c r="K227" s="37">
        <f t="shared" si="4"/>
        <v>36505</v>
      </c>
      <c r="L227" s="37">
        <f t="shared" si="5"/>
        <v>46002</v>
      </c>
    </row>
    <row r="228">
      <c r="A228" s="1">
        <v>227.0</v>
      </c>
      <c r="B228" s="1">
        <v>6.31200001E8</v>
      </c>
      <c r="C228" s="1" t="s">
        <v>933</v>
      </c>
      <c r="D228" s="1" t="s">
        <v>934</v>
      </c>
      <c r="E228" s="1" t="s">
        <v>893</v>
      </c>
      <c r="F228" s="36">
        <v>45565.0</v>
      </c>
      <c r="G228" s="1">
        <v>4.0</v>
      </c>
      <c r="H228" s="8" t="str">
        <f t="shared" si="1"/>
        <v>1999</v>
      </c>
      <c r="I228" s="8" t="str">
        <f t="shared" si="2"/>
        <v>12</v>
      </c>
      <c r="J228" s="8" t="str">
        <f t="shared" si="3"/>
        <v>01</v>
      </c>
      <c r="K228" s="37">
        <f t="shared" si="4"/>
        <v>36495</v>
      </c>
      <c r="L228" s="37">
        <f t="shared" si="5"/>
        <v>45992</v>
      </c>
    </row>
    <row r="229">
      <c r="A229" s="1">
        <v>228.0</v>
      </c>
      <c r="B229" s="1">
        <v>1.330100024E9</v>
      </c>
      <c r="C229" s="1" t="s">
        <v>935</v>
      </c>
      <c r="D229" s="1" t="s">
        <v>936</v>
      </c>
      <c r="E229" s="1" t="s">
        <v>893</v>
      </c>
      <c r="F229" s="36">
        <v>45565.0</v>
      </c>
      <c r="G229" s="1">
        <v>4.0</v>
      </c>
      <c r="H229" s="8" t="str">
        <f t="shared" si="1"/>
        <v>1999</v>
      </c>
      <c r="I229" s="8" t="str">
        <f t="shared" si="2"/>
        <v>11</v>
      </c>
      <c r="J229" s="8" t="str">
        <f t="shared" si="3"/>
        <v>07</v>
      </c>
      <c r="K229" s="37">
        <f t="shared" si="4"/>
        <v>36471</v>
      </c>
      <c r="L229" s="37">
        <f t="shared" si="5"/>
        <v>45968</v>
      </c>
    </row>
    <row r="230">
      <c r="A230" s="1">
        <v>229.0</v>
      </c>
      <c r="B230" s="1">
        <v>1.330700003E9</v>
      </c>
      <c r="C230" s="1" t="s">
        <v>937</v>
      </c>
      <c r="D230" s="1" t="s">
        <v>938</v>
      </c>
      <c r="E230" s="1" t="s">
        <v>893</v>
      </c>
      <c r="F230" s="36">
        <v>45565.0</v>
      </c>
      <c r="G230" s="1">
        <v>4.0</v>
      </c>
      <c r="H230" s="8" t="str">
        <f t="shared" si="1"/>
        <v>2001</v>
      </c>
      <c r="I230" s="8" t="str">
        <f t="shared" si="2"/>
        <v>02</v>
      </c>
      <c r="J230" s="8" t="str">
        <f t="shared" si="3"/>
        <v>13</v>
      </c>
      <c r="K230" s="37">
        <f t="shared" si="4"/>
        <v>36935</v>
      </c>
      <c r="L230" s="37">
        <f t="shared" si="5"/>
        <v>45701</v>
      </c>
    </row>
    <row r="231">
      <c r="A231" s="1">
        <v>230.0</v>
      </c>
      <c r="B231" s="1">
        <v>1.33030001E9</v>
      </c>
      <c r="C231" s="1" t="s">
        <v>939</v>
      </c>
      <c r="D231" s="1" t="s">
        <v>940</v>
      </c>
      <c r="E231" s="1" t="s">
        <v>893</v>
      </c>
      <c r="F231" s="36">
        <v>45565.0</v>
      </c>
      <c r="G231" s="1">
        <v>4.0</v>
      </c>
      <c r="H231" s="8" t="str">
        <f t="shared" si="1"/>
        <v>2000</v>
      </c>
      <c r="I231" s="8" t="str">
        <f t="shared" si="2"/>
        <v>04</v>
      </c>
      <c r="J231" s="8" t="str">
        <f t="shared" si="3"/>
        <v>07</v>
      </c>
      <c r="K231" s="37">
        <f t="shared" si="4"/>
        <v>36623</v>
      </c>
      <c r="L231" s="37">
        <f t="shared" si="5"/>
        <v>45754</v>
      </c>
    </row>
    <row r="232">
      <c r="A232" s="1">
        <v>231.0</v>
      </c>
      <c r="B232" s="1">
        <v>1.330600002E9</v>
      </c>
      <c r="C232" s="1" t="s">
        <v>941</v>
      </c>
      <c r="D232" s="1" t="s">
        <v>942</v>
      </c>
      <c r="E232" s="1" t="s">
        <v>893</v>
      </c>
      <c r="F232" s="36">
        <v>45565.0</v>
      </c>
      <c r="G232" s="1">
        <v>4.0</v>
      </c>
      <c r="H232" s="8" t="str">
        <f t="shared" si="1"/>
        <v>2000</v>
      </c>
      <c r="I232" s="8" t="str">
        <f t="shared" si="2"/>
        <v>11</v>
      </c>
      <c r="J232" s="8" t="str">
        <f t="shared" si="3"/>
        <v>12</v>
      </c>
      <c r="K232" s="37">
        <f t="shared" si="4"/>
        <v>36842</v>
      </c>
      <c r="L232" s="37">
        <f t="shared" si="5"/>
        <v>45973</v>
      </c>
    </row>
    <row r="233">
      <c r="A233" s="1">
        <v>232.0</v>
      </c>
      <c r="B233" s="1">
        <v>1.330800001E9</v>
      </c>
      <c r="C233" s="1" t="s">
        <v>943</v>
      </c>
      <c r="D233" s="1" t="s">
        <v>944</v>
      </c>
      <c r="E233" s="1" t="s">
        <v>893</v>
      </c>
      <c r="F233" s="36">
        <v>45565.0</v>
      </c>
      <c r="G233" s="1">
        <v>4.0</v>
      </c>
      <c r="H233" s="8" t="str">
        <f t="shared" si="1"/>
        <v>2001</v>
      </c>
      <c r="I233" s="8" t="str">
        <f t="shared" si="2"/>
        <v>02</v>
      </c>
      <c r="J233" s="8" t="str">
        <f t="shared" si="3"/>
        <v>16</v>
      </c>
      <c r="K233" s="37">
        <f t="shared" si="4"/>
        <v>36938</v>
      </c>
      <c r="L233" s="37">
        <f t="shared" si="5"/>
        <v>45704</v>
      </c>
    </row>
    <row r="234">
      <c r="A234" s="1">
        <v>233.0</v>
      </c>
      <c r="B234" s="1">
        <v>1.330100007E9</v>
      </c>
      <c r="C234" s="1" t="s">
        <v>945</v>
      </c>
      <c r="D234" s="1" t="s">
        <v>946</v>
      </c>
      <c r="E234" s="1" t="s">
        <v>893</v>
      </c>
      <c r="F234" s="36">
        <v>45565.0</v>
      </c>
      <c r="G234" s="1">
        <v>4.0</v>
      </c>
      <c r="H234" s="8" t="str">
        <f t="shared" si="1"/>
        <v>2000</v>
      </c>
      <c r="I234" s="8" t="str">
        <f t="shared" si="2"/>
        <v>06</v>
      </c>
      <c r="J234" s="8" t="str">
        <f t="shared" si="3"/>
        <v>21</v>
      </c>
      <c r="K234" s="37">
        <f t="shared" si="4"/>
        <v>36698</v>
      </c>
      <c r="L234" s="37">
        <f t="shared" si="5"/>
        <v>45829</v>
      </c>
    </row>
    <row r="235">
      <c r="A235" s="1">
        <v>234.0</v>
      </c>
      <c r="B235" s="1">
        <v>6.31100001E8</v>
      </c>
      <c r="C235" s="1" t="s">
        <v>947</v>
      </c>
      <c r="D235" s="1" t="s">
        <v>948</v>
      </c>
      <c r="E235" s="1" t="s">
        <v>893</v>
      </c>
      <c r="F235" s="36">
        <v>45565.0</v>
      </c>
      <c r="G235" s="1">
        <v>4.0</v>
      </c>
      <c r="H235" s="8" t="str">
        <f t="shared" si="1"/>
        <v>1999</v>
      </c>
      <c r="I235" s="8" t="str">
        <f t="shared" si="2"/>
        <v>10</v>
      </c>
      <c r="J235" s="8" t="str">
        <f t="shared" si="3"/>
        <v>22</v>
      </c>
      <c r="K235" s="37">
        <f t="shared" si="4"/>
        <v>36455</v>
      </c>
      <c r="L235" s="37">
        <f t="shared" si="5"/>
        <v>45952</v>
      </c>
    </row>
    <row r="236">
      <c r="A236" s="1">
        <v>235.0</v>
      </c>
      <c r="B236" s="1">
        <v>1.330100044E9</v>
      </c>
      <c r="C236" s="1" t="s">
        <v>949</v>
      </c>
      <c r="D236" s="1" t="s">
        <v>950</v>
      </c>
      <c r="E236" s="1" t="s">
        <v>893</v>
      </c>
      <c r="F236" s="36">
        <v>45565.0</v>
      </c>
      <c r="G236" s="1">
        <v>4.0</v>
      </c>
      <c r="H236" s="8" t="str">
        <f t="shared" si="1"/>
        <v>2000</v>
      </c>
      <c r="I236" s="8" t="str">
        <f t="shared" si="2"/>
        <v>10</v>
      </c>
      <c r="J236" s="8" t="str">
        <f t="shared" si="3"/>
        <v>20</v>
      </c>
      <c r="K236" s="37">
        <f t="shared" si="4"/>
        <v>36819</v>
      </c>
      <c r="L236" s="37">
        <f t="shared" si="5"/>
        <v>45950</v>
      </c>
    </row>
    <row r="237">
      <c r="A237" s="1">
        <v>236.0</v>
      </c>
      <c r="B237" s="1">
        <v>1.330700002E9</v>
      </c>
      <c r="C237" s="1" t="s">
        <v>951</v>
      </c>
      <c r="D237" s="1" t="s">
        <v>952</v>
      </c>
      <c r="E237" s="1" t="s">
        <v>893</v>
      </c>
      <c r="F237" s="36">
        <v>45565.0</v>
      </c>
      <c r="G237" s="1">
        <v>4.0</v>
      </c>
      <c r="H237" s="8" t="str">
        <f t="shared" si="1"/>
        <v>2000</v>
      </c>
      <c r="I237" s="8" t="str">
        <f t="shared" si="2"/>
        <v>10</v>
      </c>
      <c r="J237" s="8" t="str">
        <f t="shared" si="3"/>
        <v>25</v>
      </c>
      <c r="K237" s="37">
        <f t="shared" si="4"/>
        <v>36824</v>
      </c>
      <c r="L237" s="37">
        <f t="shared" si="5"/>
        <v>45955</v>
      </c>
    </row>
    <row r="238">
      <c r="A238" s="1">
        <v>237.0</v>
      </c>
      <c r="B238" s="1">
        <v>1.330200002E9</v>
      </c>
      <c r="C238" s="1" t="s">
        <v>953</v>
      </c>
      <c r="D238" s="1" t="s">
        <v>954</v>
      </c>
      <c r="E238" s="1" t="s">
        <v>893</v>
      </c>
      <c r="F238" s="36">
        <v>45565.0</v>
      </c>
      <c r="G238" s="1">
        <v>4.0</v>
      </c>
      <c r="H238" s="8" t="str">
        <f t="shared" si="1"/>
        <v>2000</v>
      </c>
      <c r="I238" s="8" t="str">
        <f t="shared" si="2"/>
        <v>01</v>
      </c>
      <c r="J238" s="8" t="str">
        <f t="shared" si="3"/>
        <v>11</v>
      </c>
      <c r="K238" s="37">
        <f t="shared" si="4"/>
        <v>36536</v>
      </c>
      <c r="L238" s="37">
        <f t="shared" si="5"/>
        <v>45668</v>
      </c>
    </row>
    <row r="239">
      <c r="A239" s="1">
        <v>238.0</v>
      </c>
      <c r="B239" s="1">
        <v>1.330100041E9</v>
      </c>
      <c r="C239" s="1" t="s">
        <v>955</v>
      </c>
      <c r="D239" s="1" t="s">
        <v>956</v>
      </c>
      <c r="E239" s="1" t="s">
        <v>893</v>
      </c>
      <c r="F239" s="36">
        <v>45565.0</v>
      </c>
      <c r="G239" s="1">
        <v>4.0</v>
      </c>
      <c r="H239" s="8" t="str">
        <f t="shared" si="1"/>
        <v>2000</v>
      </c>
      <c r="I239" s="8" t="str">
        <f t="shared" si="2"/>
        <v>11</v>
      </c>
      <c r="J239" s="8" t="str">
        <f t="shared" si="3"/>
        <v>06</v>
      </c>
      <c r="K239" s="37">
        <f t="shared" si="4"/>
        <v>36836</v>
      </c>
      <c r="L239" s="37">
        <f t="shared" si="5"/>
        <v>45967</v>
      </c>
    </row>
    <row r="240">
      <c r="A240" s="1">
        <v>239.0</v>
      </c>
      <c r="B240" s="1">
        <v>1.330300004E9</v>
      </c>
      <c r="C240" s="1" t="s">
        <v>957</v>
      </c>
      <c r="D240" s="1" t="s">
        <v>958</v>
      </c>
      <c r="E240" s="1" t="s">
        <v>893</v>
      </c>
      <c r="F240" s="36">
        <v>45565.0</v>
      </c>
      <c r="G240" s="1">
        <v>4.0</v>
      </c>
      <c r="H240" s="8" t="str">
        <f t="shared" si="1"/>
        <v>2000</v>
      </c>
      <c r="I240" s="8" t="str">
        <f t="shared" si="2"/>
        <v>06</v>
      </c>
      <c r="J240" s="8" t="str">
        <f t="shared" si="3"/>
        <v>05</v>
      </c>
      <c r="K240" s="37">
        <f t="shared" si="4"/>
        <v>36682</v>
      </c>
      <c r="L240" s="37">
        <f t="shared" si="5"/>
        <v>45813</v>
      </c>
    </row>
    <row r="241">
      <c r="A241" s="1">
        <v>240.0</v>
      </c>
      <c r="B241" s="1">
        <v>1.330200004E9</v>
      </c>
      <c r="C241" s="1" t="s">
        <v>959</v>
      </c>
      <c r="D241" s="1" t="s">
        <v>960</v>
      </c>
      <c r="E241" s="1" t="s">
        <v>893</v>
      </c>
      <c r="F241" s="36">
        <v>45565.0</v>
      </c>
      <c r="G241" s="1">
        <v>4.0</v>
      </c>
      <c r="H241" s="8" t="str">
        <f t="shared" si="1"/>
        <v>2000</v>
      </c>
      <c r="I241" s="8" t="str">
        <f t="shared" si="2"/>
        <v>06</v>
      </c>
      <c r="J241" s="8" t="str">
        <f t="shared" si="3"/>
        <v>20</v>
      </c>
      <c r="K241" s="37">
        <f t="shared" si="4"/>
        <v>36697</v>
      </c>
      <c r="L241" s="37">
        <f t="shared" si="5"/>
        <v>45828</v>
      </c>
    </row>
    <row r="242">
      <c r="A242" s="1">
        <v>241.0</v>
      </c>
      <c r="B242" s="1">
        <v>1.330400005E9</v>
      </c>
      <c r="C242" s="1" t="s">
        <v>961</v>
      </c>
      <c r="D242" s="1" t="s">
        <v>962</v>
      </c>
      <c r="E242" s="1" t="s">
        <v>893</v>
      </c>
      <c r="F242" s="36">
        <v>45565.0</v>
      </c>
      <c r="G242" s="1">
        <v>4.0</v>
      </c>
      <c r="H242" s="8" t="str">
        <f t="shared" si="1"/>
        <v>2001</v>
      </c>
      <c r="I242" s="8" t="str">
        <f t="shared" si="2"/>
        <v>05</v>
      </c>
      <c r="J242" s="8" t="str">
        <f t="shared" si="3"/>
        <v>24</v>
      </c>
      <c r="K242" s="37">
        <f t="shared" si="4"/>
        <v>37035</v>
      </c>
      <c r="L242" s="37">
        <f t="shared" si="5"/>
        <v>45801</v>
      </c>
    </row>
    <row r="243">
      <c r="A243" s="1">
        <v>242.0</v>
      </c>
      <c r="B243" s="1">
        <v>1.330100029E9</v>
      </c>
      <c r="C243" s="1" t="s">
        <v>963</v>
      </c>
      <c r="D243" s="1" t="s">
        <v>964</v>
      </c>
      <c r="E243" s="1" t="s">
        <v>893</v>
      </c>
      <c r="F243" s="36">
        <v>45565.0</v>
      </c>
      <c r="G243" s="1">
        <v>4.0</v>
      </c>
      <c r="H243" s="8" t="str">
        <f t="shared" si="1"/>
        <v>2000</v>
      </c>
      <c r="I243" s="8" t="str">
        <f t="shared" si="2"/>
        <v>08</v>
      </c>
      <c r="J243" s="8" t="str">
        <f t="shared" si="3"/>
        <v>31</v>
      </c>
      <c r="K243" s="37">
        <f t="shared" si="4"/>
        <v>36769</v>
      </c>
      <c r="L243" s="37">
        <f t="shared" si="5"/>
        <v>45900</v>
      </c>
    </row>
    <row r="244">
      <c r="A244" s="1">
        <v>243.0</v>
      </c>
      <c r="B244" s="1">
        <v>6.30200005E8</v>
      </c>
      <c r="C244" s="1" t="s">
        <v>965</v>
      </c>
      <c r="D244" s="1" t="s">
        <v>966</v>
      </c>
      <c r="E244" s="1" t="s">
        <v>893</v>
      </c>
      <c r="F244" s="36">
        <v>45565.0</v>
      </c>
      <c r="G244" s="1">
        <v>4.0</v>
      </c>
      <c r="H244" s="8" t="str">
        <f t="shared" si="1"/>
        <v>2001</v>
      </c>
      <c r="I244" s="8" t="str">
        <f t="shared" si="2"/>
        <v>01</v>
      </c>
      <c r="J244" s="8" t="str">
        <f t="shared" si="3"/>
        <v>05</v>
      </c>
      <c r="K244" s="37">
        <f t="shared" si="4"/>
        <v>36896</v>
      </c>
      <c r="L244" s="37">
        <f t="shared" si="5"/>
        <v>45662</v>
      </c>
    </row>
    <row r="245">
      <c r="A245" s="1">
        <v>244.0</v>
      </c>
      <c r="B245" s="1">
        <v>6.31100006E8</v>
      </c>
      <c r="C245" s="1" t="s">
        <v>967</v>
      </c>
      <c r="D245" s="1" t="s">
        <v>968</v>
      </c>
      <c r="E245" s="1" t="s">
        <v>893</v>
      </c>
      <c r="F245" s="36">
        <v>45565.0</v>
      </c>
      <c r="G245" s="1">
        <v>4.0</v>
      </c>
      <c r="H245" s="8" t="str">
        <f t="shared" si="1"/>
        <v>2000</v>
      </c>
      <c r="I245" s="8" t="str">
        <f t="shared" si="2"/>
        <v>10</v>
      </c>
      <c r="J245" s="8" t="str">
        <f t="shared" si="3"/>
        <v>25</v>
      </c>
      <c r="K245" s="37">
        <f t="shared" si="4"/>
        <v>36824</v>
      </c>
      <c r="L245" s="37">
        <f t="shared" si="5"/>
        <v>45955</v>
      </c>
    </row>
    <row r="246">
      <c r="A246" s="1">
        <v>245.0</v>
      </c>
      <c r="B246" s="1">
        <v>1.330100013E9</v>
      </c>
      <c r="C246" s="1" t="s">
        <v>969</v>
      </c>
      <c r="D246" s="1" t="s">
        <v>970</v>
      </c>
      <c r="E246" s="1" t="s">
        <v>893</v>
      </c>
      <c r="F246" s="36">
        <v>45565.0</v>
      </c>
      <c r="G246" s="1">
        <v>4.0</v>
      </c>
      <c r="H246" s="8" t="str">
        <f t="shared" si="1"/>
        <v>2000</v>
      </c>
      <c r="I246" s="8" t="str">
        <f t="shared" si="2"/>
        <v>08</v>
      </c>
      <c r="J246" s="8" t="str">
        <f t="shared" si="3"/>
        <v>23</v>
      </c>
      <c r="K246" s="37">
        <f t="shared" si="4"/>
        <v>36761</v>
      </c>
      <c r="L246" s="37">
        <f t="shared" si="5"/>
        <v>45892</v>
      </c>
    </row>
    <row r="247">
      <c r="A247" s="1">
        <v>246.0</v>
      </c>
      <c r="B247" s="1">
        <v>1.331100003E9</v>
      </c>
      <c r="C247" s="1" t="s">
        <v>971</v>
      </c>
      <c r="D247" s="1" t="s">
        <v>972</v>
      </c>
      <c r="E247" s="1" t="s">
        <v>893</v>
      </c>
      <c r="F247" s="36">
        <v>45565.0</v>
      </c>
      <c r="G247" s="1">
        <v>4.0</v>
      </c>
      <c r="H247" s="8" t="str">
        <f t="shared" si="1"/>
        <v>2001</v>
      </c>
      <c r="I247" s="8" t="str">
        <f t="shared" si="2"/>
        <v>01</v>
      </c>
      <c r="J247" s="8" t="str">
        <f t="shared" si="3"/>
        <v>07</v>
      </c>
      <c r="K247" s="37">
        <f t="shared" si="4"/>
        <v>36898</v>
      </c>
      <c r="L247" s="37">
        <f t="shared" si="5"/>
        <v>45664</v>
      </c>
    </row>
    <row r="248">
      <c r="A248" s="1">
        <v>247.0</v>
      </c>
      <c r="B248" s="1">
        <v>1.330300003E9</v>
      </c>
      <c r="C248" s="1" t="s">
        <v>973</v>
      </c>
      <c r="D248" s="1" t="s">
        <v>974</v>
      </c>
      <c r="E248" s="1" t="s">
        <v>893</v>
      </c>
      <c r="F248" s="36">
        <v>45565.0</v>
      </c>
      <c r="G248" s="1">
        <v>4.0</v>
      </c>
      <c r="H248" s="8" t="str">
        <f t="shared" si="1"/>
        <v>2000</v>
      </c>
      <c r="I248" s="8" t="str">
        <f t="shared" si="2"/>
        <v>02</v>
      </c>
      <c r="J248" s="8" t="str">
        <f t="shared" si="3"/>
        <v>02</v>
      </c>
      <c r="K248" s="37">
        <f t="shared" si="4"/>
        <v>36558</v>
      </c>
      <c r="L248" s="37">
        <f t="shared" si="5"/>
        <v>45690</v>
      </c>
    </row>
    <row r="249">
      <c r="A249" s="1">
        <v>248.0</v>
      </c>
      <c r="B249" s="1">
        <v>6.30400001E8</v>
      </c>
      <c r="C249" s="1" t="s">
        <v>975</v>
      </c>
      <c r="D249" s="1" t="s">
        <v>976</v>
      </c>
      <c r="E249" s="1" t="s">
        <v>893</v>
      </c>
      <c r="F249" s="36">
        <v>45565.0</v>
      </c>
      <c r="G249" s="1">
        <v>4.0</v>
      </c>
      <c r="H249" s="8" t="str">
        <f t="shared" si="1"/>
        <v>2000</v>
      </c>
      <c r="I249" s="8" t="str">
        <f t="shared" si="2"/>
        <v>07</v>
      </c>
      <c r="J249" s="8" t="str">
        <f t="shared" si="3"/>
        <v>13</v>
      </c>
      <c r="K249" s="37">
        <f t="shared" si="4"/>
        <v>36720</v>
      </c>
      <c r="L249" s="37">
        <f t="shared" si="5"/>
        <v>45851</v>
      </c>
    </row>
    <row r="250">
      <c r="A250" s="1">
        <v>249.0</v>
      </c>
      <c r="B250" s="1">
        <v>1.330500007E9</v>
      </c>
      <c r="C250" s="1" t="s">
        <v>977</v>
      </c>
      <c r="D250" s="1" t="s">
        <v>978</v>
      </c>
      <c r="E250" s="1" t="s">
        <v>893</v>
      </c>
      <c r="F250" s="36">
        <v>45565.0</v>
      </c>
      <c r="G250" s="1">
        <v>4.0</v>
      </c>
      <c r="H250" s="8" t="str">
        <f t="shared" si="1"/>
        <v>2000</v>
      </c>
      <c r="I250" s="8" t="str">
        <f t="shared" si="2"/>
        <v>02</v>
      </c>
      <c r="J250" s="8" t="str">
        <f t="shared" si="3"/>
        <v>15</v>
      </c>
      <c r="K250" s="37">
        <f t="shared" si="4"/>
        <v>36571</v>
      </c>
      <c r="L250" s="37">
        <f t="shared" si="5"/>
        <v>45703</v>
      </c>
    </row>
    <row r="251">
      <c r="A251" s="1">
        <v>250.0</v>
      </c>
      <c r="B251" s="1">
        <v>1.330700005E9</v>
      </c>
      <c r="C251" s="1" t="s">
        <v>979</v>
      </c>
      <c r="D251" s="1" t="s">
        <v>980</v>
      </c>
      <c r="E251" s="1" t="s">
        <v>893</v>
      </c>
      <c r="F251" s="36">
        <v>45565.0</v>
      </c>
      <c r="G251" s="1">
        <v>4.0</v>
      </c>
      <c r="H251" s="8" t="str">
        <f t="shared" si="1"/>
        <v>1999</v>
      </c>
      <c r="I251" s="8" t="str">
        <f t="shared" si="2"/>
        <v>10</v>
      </c>
      <c r="J251" s="8" t="str">
        <f t="shared" si="3"/>
        <v>24</v>
      </c>
      <c r="K251" s="37">
        <f t="shared" si="4"/>
        <v>36457</v>
      </c>
      <c r="L251" s="37">
        <f t="shared" si="5"/>
        <v>45954</v>
      </c>
    </row>
    <row r="252">
      <c r="A252" s="1">
        <v>251.0</v>
      </c>
      <c r="B252" s="1">
        <v>1.330300001E9</v>
      </c>
      <c r="C252" s="1" t="s">
        <v>981</v>
      </c>
      <c r="D252" s="1" t="s">
        <v>982</v>
      </c>
      <c r="E252" s="1" t="s">
        <v>893</v>
      </c>
      <c r="F252" s="36">
        <v>45565.0</v>
      </c>
      <c r="G252" s="1">
        <v>4.0</v>
      </c>
      <c r="H252" s="8" t="str">
        <f t="shared" si="1"/>
        <v>2001</v>
      </c>
      <c r="I252" s="8" t="str">
        <f t="shared" si="2"/>
        <v>08</v>
      </c>
      <c r="J252" s="8" t="str">
        <f t="shared" si="3"/>
        <v>29</v>
      </c>
      <c r="K252" s="37">
        <f t="shared" si="4"/>
        <v>37132</v>
      </c>
      <c r="L252" s="37">
        <f t="shared" si="5"/>
        <v>45898</v>
      </c>
    </row>
    <row r="253">
      <c r="A253" s="1">
        <v>252.0</v>
      </c>
      <c r="B253" s="1">
        <v>6.30300001E8</v>
      </c>
      <c r="C253" s="1" t="s">
        <v>983</v>
      </c>
      <c r="D253" s="1" t="s">
        <v>984</v>
      </c>
      <c r="E253" s="1" t="s">
        <v>893</v>
      </c>
      <c r="F253" s="36">
        <v>45565.0</v>
      </c>
      <c r="G253" s="1">
        <v>4.0</v>
      </c>
      <c r="H253" s="8" t="str">
        <f t="shared" si="1"/>
        <v>1999</v>
      </c>
      <c r="I253" s="8" t="str">
        <f t="shared" si="2"/>
        <v>12</v>
      </c>
      <c r="J253" s="8" t="str">
        <f t="shared" si="3"/>
        <v>19</v>
      </c>
      <c r="K253" s="37">
        <f t="shared" si="4"/>
        <v>36513</v>
      </c>
      <c r="L253" s="37">
        <f t="shared" si="5"/>
        <v>46010</v>
      </c>
    </row>
    <row r="254">
      <c r="A254" s="1">
        <v>253.0</v>
      </c>
      <c r="B254" s="1">
        <v>1.330300009E9</v>
      </c>
      <c r="C254" s="1" t="s">
        <v>985</v>
      </c>
      <c r="D254" s="1" t="s">
        <v>986</v>
      </c>
      <c r="E254" s="1" t="s">
        <v>893</v>
      </c>
      <c r="F254" s="36">
        <v>45565.0</v>
      </c>
      <c r="G254" s="1">
        <v>4.0</v>
      </c>
      <c r="H254" s="8" t="str">
        <f t="shared" si="1"/>
        <v>2000</v>
      </c>
      <c r="I254" s="8" t="str">
        <f t="shared" si="2"/>
        <v>01</v>
      </c>
      <c r="J254" s="8" t="str">
        <f t="shared" si="3"/>
        <v>10</v>
      </c>
      <c r="K254" s="37">
        <f t="shared" si="4"/>
        <v>36535</v>
      </c>
      <c r="L254" s="37">
        <f t="shared" si="5"/>
        <v>45667</v>
      </c>
    </row>
    <row r="255">
      <c r="A255" s="1">
        <v>254.0</v>
      </c>
      <c r="B255" s="1">
        <v>1.330100028E9</v>
      </c>
      <c r="C255" s="1" t="s">
        <v>987</v>
      </c>
      <c r="D255" s="1" t="s">
        <v>988</v>
      </c>
      <c r="E255" s="1" t="s">
        <v>914</v>
      </c>
      <c r="F255" s="36">
        <v>45565.0</v>
      </c>
      <c r="G255" s="1">
        <v>4.0</v>
      </c>
      <c r="H255" s="8" t="str">
        <f t="shared" si="1"/>
        <v>2000</v>
      </c>
      <c r="I255" s="8" t="str">
        <f t="shared" si="2"/>
        <v>03</v>
      </c>
      <c r="J255" s="8" t="str">
        <f t="shared" si="3"/>
        <v>07</v>
      </c>
      <c r="K255" s="37">
        <f t="shared" si="4"/>
        <v>36592</v>
      </c>
      <c r="L255" s="37">
        <f t="shared" si="5"/>
        <v>45723</v>
      </c>
    </row>
    <row r="256">
      <c r="A256" s="1">
        <v>255.0</v>
      </c>
      <c r="B256" s="1">
        <v>1.330100017E9</v>
      </c>
      <c r="C256" s="1" t="s">
        <v>989</v>
      </c>
      <c r="D256" s="1" t="s">
        <v>990</v>
      </c>
      <c r="E256" s="1" t="s">
        <v>893</v>
      </c>
      <c r="F256" s="36">
        <v>45565.0</v>
      </c>
      <c r="G256" s="1">
        <v>4.0</v>
      </c>
      <c r="H256" s="8" t="str">
        <f t="shared" si="1"/>
        <v>2000</v>
      </c>
      <c r="I256" s="8" t="str">
        <f t="shared" si="2"/>
        <v>02</v>
      </c>
      <c r="J256" s="8" t="str">
        <f t="shared" si="3"/>
        <v>09</v>
      </c>
      <c r="K256" s="37">
        <f t="shared" si="4"/>
        <v>36565</v>
      </c>
      <c r="L256" s="37">
        <f t="shared" si="5"/>
        <v>45697</v>
      </c>
    </row>
    <row r="257">
      <c r="A257" s="1">
        <v>256.0</v>
      </c>
      <c r="B257" s="1">
        <v>1.330100043E9</v>
      </c>
      <c r="C257" s="1" t="s">
        <v>991</v>
      </c>
      <c r="D257" s="1" t="s">
        <v>992</v>
      </c>
      <c r="E257" s="1" t="s">
        <v>893</v>
      </c>
      <c r="F257" s="36">
        <v>45565.0</v>
      </c>
      <c r="G257" s="1">
        <v>4.0</v>
      </c>
      <c r="H257" s="8" t="str">
        <f t="shared" si="1"/>
        <v>2000</v>
      </c>
      <c r="I257" s="8" t="str">
        <f t="shared" si="2"/>
        <v>03</v>
      </c>
      <c r="J257" s="8" t="str">
        <f t="shared" si="3"/>
        <v>04</v>
      </c>
      <c r="K257" s="37">
        <f t="shared" si="4"/>
        <v>36589</v>
      </c>
      <c r="L257" s="37">
        <f t="shared" si="5"/>
        <v>45720</v>
      </c>
    </row>
    <row r="258">
      <c r="A258" s="1">
        <v>257.0</v>
      </c>
      <c r="B258" s="1">
        <v>1.331100001E9</v>
      </c>
      <c r="C258" s="1" t="s">
        <v>993</v>
      </c>
      <c r="D258" s="1" t="s">
        <v>994</v>
      </c>
      <c r="E258" s="1" t="s">
        <v>893</v>
      </c>
      <c r="F258" s="36">
        <v>45565.0</v>
      </c>
      <c r="G258" s="1">
        <v>4.0</v>
      </c>
      <c r="H258" s="8" t="str">
        <f t="shared" si="1"/>
        <v>2001</v>
      </c>
      <c r="I258" s="8" t="str">
        <f t="shared" si="2"/>
        <v>05</v>
      </c>
      <c r="J258" s="8" t="str">
        <f t="shared" si="3"/>
        <v>24</v>
      </c>
      <c r="K258" s="37">
        <f t="shared" si="4"/>
        <v>37035</v>
      </c>
      <c r="L258" s="37">
        <f t="shared" si="5"/>
        <v>45801</v>
      </c>
    </row>
    <row r="259">
      <c r="A259" s="1">
        <v>258.0</v>
      </c>
      <c r="B259" s="1">
        <v>1.330100008E9</v>
      </c>
      <c r="C259" s="1" t="s">
        <v>995</v>
      </c>
      <c r="D259" s="1" t="s">
        <v>996</v>
      </c>
      <c r="E259" s="1" t="s">
        <v>893</v>
      </c>
      <c r="F259" s="36">
        <v>45565.0</v>
      </c>
      <c r="G259" s="1">
        <v>4.0</v>
      </c>
      <c r="H259" s="8" t="str">
        <f t="shared" si="1"/>
        <v>1999</v>
      </c>
      <c r="I259" s="8" t="str">
        <f t="shared" si="2"/>
        <v>11</v>
      </c>
      <c r="J259" s="8" t="str">
        <f t="shared" si="3"/>
        <v>14</v>
      </c>
      <c r="K259" s="37">
        <f t="shared" si="4"/>
        <v>36478</v>
      </c>
      <c r="L259" s="37">
        <f t="shared" si="5"/>
        <v>45975</v>
      </c>
    </row>
    <row r="260">
      <c r="A260" s="1">
        <v>259.0</v>
      </c>
      <c r="B260" s="1">
        <v>6.30200004E8</v>
      </c>
      <c r="C260" s="1" t="s">
        <v>997</v>
      </c>
      <c r="D260" s="1" t="s">
        <v>998</v>
      </c>
      <c r="E260" s="1" t="s">
        <v>893</v>
      </c>
      <c r="F260" s="36">
        <v>45565.0</v>
      </c>
      <c r="G260" s="1">
        <v>4.0</v>
      </c>
      <c r="H260" s="8" t="str">
        <f t="shared" si="1"/>
        <v>2000</v>
      </c>
      <c r="I260" s="8" t="str">
        <f t="shared" si="2"/>
        <v>07</v>
      </c>
      <c r="J260" s="8" t="str">
        <f t="shared" si="3"/>
        <v>16</v>
      </c>
      <c r="K260" s="37">
        <f t="shared" si="4"/>
        <v>36723</v>
      </c>
      <c r="L260" s="37">
        <f t="shared" si="5"/>
        <v>45854</v>
      </c>
    </row>
    <row r="261">
      <c r="A261" s="1">
        <v>260.0</v>
      </c>
      <c r="B261" s="1">
        <v>6.30200009E8</v>
      </c>
      <c r="C261" s="1" t="s">
        <v>999</v>
      </c>
      <c r="D261" s="1" t="s">
        <v>1000</v>
      </c>
      <c r="E261" s="1" t="s">
        <v>893</v>
      </c>
      <c r="F261" s="36">
        <v>45565.0</v>
      </c>
      <c r="G261" s="1">
        <v>4.0</v>
      </c>
      <c r="H261" s="8" t="str">
        <f t="shared" si="1"/>
        <v>2000</v>
      </c>
      <c r="I261" s="8" t="str">
        <f t="shared" si="2"/>
        <v>08</v>
      </c>
      <c r="J261" s="8" t="str">
        <f t="shared" si="3"/>
        <v>05</v>
      </c>
      <c r="K261" s="37">
        <f t="shared" si="4"/>
        <v>36743</v>
      </c>
      <c r="L261" s="37">
        <f t="shared" si="5"/>
        <v>45874</v>
      </c>
    </row>
    <row r="262">
      <c r="A262" s="1">
        <v>261.0</v>
      </c>
      <c r="B262" s="1">
        <v>1.330200015E9</v>
      </c>
      <c r="C262" s="1" t="s">
        <v>1001</v>
      </c>
      <c r="D262" s="1" t="s">
        <v>1002</v>
      </c>
      <c r="E262" s="1" t="s">
        <v>893</v>
      </c>
      <c r="F262" s="36">
        <v>45565.0</v>
      </c>
      <c r="G262" s="1">
        <v>4.0</v>
      </c>
      <c r="H262" s="8" t="str">
        <f t="shared" si="1"/>
        <v>2000</v>
      </c>
      <c r="I262" s="8" t="str">
        <f t="shared" si="2"/>
        <v>08</v>
      </c>
      <c r="J262" s="8" t="str">
        <f t="shared" si="3"/>
        <v>12</v>
      </c>
      <c r="K262" s="37">
        <f t="shared" si="4"/>
        <v>36750</v>
      </c>
      <c r="L262" s="37">
        <f t="shared" si="5"/>
        <v>45881</v>
      </c>
    </row>
    <row r="263">
      <c r="A263" s="1">
        <v>262.0</v>
      </c>
      <c r="B263" s="1">
        <v>6.30200002E8</v>
      </c>
      <c r="C263" s="1" t="s">
        <v>1003</v>
      </c>
      <c r="D263" s="1" t="s">
        <v>1004</v>
      </c>
      <c r="E263" s="1" t="s">
        <v>893</v>
      </c>
      <c r="F263" s="36">
        <v>45565.0</v>
      </c>
      <c r="G263" s="1">
        <v>4.0</v>
      </c>
      <c r="H263" s="8" t="str">
        <f t="shared" si="1"/>
        <v>2000</v>
      </c>
      <c r="I263" s="8" t="str">
        <f t="shared" si="2"/>
        <v>08</v>
      </c>
      <c r="J263" s="8" t="str">
        <f t="shared" si="3"/>
        <v>07</v>
      </c>
      <c r="K263" s="37">
        <f t="shared" si="4"/>
        <v>36745</v>
      </c>
      <c r="L263" s="37">
        <f t="shared" si="5"/>
        <v>45876</v>
      </c>
    </row>
    <row r="264">
      <c r="A264" s="1">
        <v>263.0</v>
      </c>
      <c r="B264" s="1">
        <v>6.31100002E8</v>
      </c>
      <c r="C264" s="1" t="s">
        <v>1005</v>
      </c>
      <c r="D264" s="1" t="s">
        <v>1006</v>
      </c>
      <c r="E264" s="1" t="s">
        <v>893</v>
      </c>
      <c r="F264" s="36">
        <v>45565.0</v>
      </c>
      <c r="G264" s="1">
        <v>4.0</v>
      </c>
      <c r="H264" s="8" t="str">
        <f t="shared" si="1"/>
        <v>2000</v>
      </c>
      <c r="I264" s="8" t="str">
        <f t="shared" si="2"/>
        <v>12</v>
      </c>
      <c r="J264" s="8" t="str">
        <f t="shared" si="3"/>
        <v>05</v>
      </c>
      <c r="K264" s="37">
        <f t="shared" si="4"/>
        <v>36865</v>
      </c>
      <c r="L264" s="37">
        <f t="shared" si="5"/>
        <v>45996</v>
      </c>
    </row>
    <row r="265">
      <c r="A265" s="1">
        <v>264.0</v>
      </c>
      <c r="B265" s="1">
        <v>1.331100006E9</v>
      </c>
      <c r="C265" s="1" t="s">
        <v>1007</v>
      </c>
      <c r="D265" s="1" t="s">
        <v>1008</v>
      </c>
      <c r="E265" s="1" t="s">
        <v>893</v>
      </c>
      <c r="F265" s="36">
        <v>45565.0</v>
      </c>
      <c r="G265" s="1">
        <v>4.0</v>
      </c>
      <c r="H265" s="8" t="str">
        <f t="shared" si="1"/>
        <v>2000</v>
      </c>
      <c r="I265" s="8" t="str">
        <f t="shared" si="2"/>
        <v>04</v>
      </c>
      <c r="J265" s="8" t="str">
        <f t="shared" si="3"/>
        <v>08</v>
      </c>
      <c r="K265" s="37">
        <f t="shared" si="4"/>
        <v>36624</v>
      </c>
      <c r="L265" s="37">
        <f t="shared" si="5"/>
        <v>45755</v>
      </c>
    </row>
    <row r="266">
      <c r="A266" s="1">
        <v>265.0</v>
      </c>
      <c r="B266" s="1">
        <v>1.330100025E9</v>
      </c>
      <c r="C266" s="1" t="s">
        <v>1009</v>
      </c>
      <c r="D266" s="1" t="s">
        <v>1010</v>
      </c>
      <c r="E266" s="1" t="s">
        <v>893</v>
      </c>
      <c r="F266" s="36">
        <v>45565.0</v>
      </c>
      <c r="G266" s="1">
        <v>4.0</v>
      </c>
      <c r="H266" s="8" t="str">
        <f t="shared" si="1"/>
        <v>2000</v>
      </c>
      <c r="I266" s="8" t="str">
        <f t="shared" si="2"/>
        <v>11</v>
      </c>
      <c r="J266" s="8" t="str">
        <f t="shared" si="3"/>
        <v>25</v>
      </c>
      <c r="K266" s="37">
        <f t="shared" si="4"/>
        <v>36855</v>
      </c>
      <c r="L266" s="37">
        <f t="shared" si="5"/>
        <v>45986</v>
      </c>
    </row>
    <row r="267">
      <c r="A267" s="1">
        <v>266.0</v>
      </c>
      <c r="B267" s="1">
        <v>1.330200009E9</v>
      </c>
      <c r="C267" s="1" t="s">
        <v>1011</v>
      </c>
      <c r="D267" s="1" t="s">
        <v>1012</v>
      </c>
      <c r="E267" s="1" t="s">
        <v>893</v>
      </c>
      <c r="F267" s="36">
        <v>45565.0</v>
      </c>
      <c r="G267" s="1">
        <v>4.0</v>
      </c>
      <c r="H267" s="8" t="str">
        <f t="shared" si="1"/>
        <v>1999</v>
      </c>
      <c r="I267" s="8" t="str">
        <f t="shared" si="2"/>
        <v>10</v>
      </c>
      <c r="J267" s="8" t="str">
        <f t="shared" si="3"/>
        <v>18</v>
      </c>
      <c r="K267" s="37">
        <f t="shared" si="4"/>
        <v>36451</v>
      </c>
      <c r="L267" s="37">
        <f t="shared" si="5"/>
        <v>45948</v>
      </c>
    </row>
    <row r="268">
      <c r="A268" s="1">
        <v>267.0</v>
      </c>
      <c r="B268" s="1">
        <v>1.330100027E9</v>
      </c>
      <c r="C268" s="1" t="s">
        <v>1013</v>
      </c>
      <c r="D268" s="1" t="s">
        <v>1014</v>
      </c>
      <c r="E268" s="1" t="s">
        <v>893</v>
      </c>
      <c r="F268" s="36">
        <v>45565.0</v>
      </c>
      <c r="G268" s="1">
        <v>4.0</v>
      </c>
      <c r="H268" s="8" t="str">
        <f t="shared" si="1"/>
        <v>2001</v>
      </c>
      <c r="I268" s="8" t="str">
        <f t="shared" si="2"/>
        <v>07</v>
      </c>
      <c r="J268" s="8" t="str">
        <f t="shared" si="3"/>
        <v>11</v>
      </c>
      <c r="K268" s="37">
        <f t="shared" si="4"/>
        <v>37083</v>
      </c>
      <c r="L268" s="37">
        <f t="shared" si="5"/>
        <v>45849</v>
      </c>
    </row>
    <row r="269">
      <c r="A269" s="1">
        <v>268.0</v>
      </c>
      <c r="B269" s="1">
        <v>6.31200004E8</v>
      </c>
      <c r="C269" s="1" t="s">
        <v>1015</v>
      </c>
      <c r="D269" s="1" t="s">
        <v>1016</v>
      </c>
      <c r="E269" s="1" t="s">
        <v>893</v>
      </c>
      <c r="F269" s="36">
        <v>45565.0</v>
      </c>
      <c r="G269" s="1">
        <v>4.0</v>
      </c>
      <c r="H269" s="8" t="str">
        <f t="shared" si="1"/>
        <v>1999</v>
      </c>
      <c r="I269" s="8" t="str">
        <f t="shared" si="2"/>
        <v>10</v>
      </c>
      <c r="J269" s="8" t="str">
        <f t="shared" si="3"/>
        <v>22</v>
      </c>
      <c r="K269" s="37">
        <f t="shared" si="4"/>
        <v>36455</v>
      </c>
      <c r="L269" s="37">
        <f t="shared" si="5"/>
        <v>45952</v>
      </c>
    </row>
    <row r="270">
      <c r="A270" s="1">
        <v>269.0</v>
      </c>
      <c r="B270" s="1">
        <v>1.330400007E9</v>
      </c>
      <c r="C270" s="1" t="s">
        <v>1017</v>
      </c>
      <c r="D270" s="1" t="s">
        <v>1018</v>
      </c>
      <c r="E270" s="1" t="s">
        <v>893</v>
      </c>
      <c r="F270" s="36">
        <v>45565.0</v>
      </c>
      <c r="G270" s="1">
        <v>4.0</v>
      </c>
      <c r="H270" s="8" t="str">
        <f t="shared" si="1"/>
        <v>2000</v>
      </c>
      <c r="I270" s="8" t="str">
        <f t="shared" si="2"/>
        <v>07</v>
      </c>
      <c r="J270" s="8" t="str">
        <f t="shared" si="3"/>
        <v>01</v>
      </c>
      <c r="K270" s="37">
        <f t="shared" si="4"/>
        <v>36708</v>
      </c>
      <c r="L270" s="37">
        <f t="shared" si="5"/>
        <v>45839</v>
      </c>
    </row>
    <row r="271">
      <c r="A271" s="1">
        <v>270.0</v>
      </c>
      <c r="B271" s="1">
        <v>1.330800003E9</v>
      </c>
      <c r="C271" s="1" t="s">
        <v>1019</v>
      </c>
      <c r="D271" s="1" t="s">
        <v>1020</v>
      </c>
      <c r="E271" s="1" t="s">
        <v>893</v>
      </c>
      <c r="F271" s="36">
        <v>45565.0</v>
      </c>
      <c r="G271" s="1">
        <v>4.0</v>
      </c>
      <c r="H271" s="8" t="str">
        <f t="shared" si="1"/>
        <v>2000</v>
      </c>
      <c r="I271" s="8" t="str">
        <f t="shared" si="2"/>
        <v>02</v>
      </c>
      <c r="J271" s="8" t="str">
        <f t="shared" si="3"/>
        <v>17</v>
      </c>
      <c r="K271" s="37">
        <f t="shared" si="4"/>
        <v>36573</v>
      </c>
      <c r="L271" s="37">
        <f t="shared" si="5"/>
        <v>45705</v>
      </c>
    </row>
    <row r="272">
      <c r="A272" s="1">
        <v>271.0</v>
      </c>
      <c r="B272" s="1">
        <v>6.30200006E8</v>
      </c>
      <c r="C272" s="1" t="s">
        <v>1021</v>
      </c>
      <c r="D272" s="1" t="s">
        <v>1022</v>
      </c>
      <c r="E272" s="1" t="s">
        <v>893</v>
      </c>
      <c r="F272" s="36">
        <v>45565.0</v>
      </c>
      <c r="G272" s="1">
        <v>4.0</v>
      </c>
      <c r="H272" s="8" t="str">
        <f t="shared" si="1"/>
        <v>2000</v>
      </c>
      <c r="I272" s="8" t="str">
        <f t="shared" si="2"/>
        <v>03</v>
      </c>
      <c r="J272" s="8" t="str">
        <f t="shared" si="3"/>
        <v>31</v>
      </c>
      <c r="K272" s="37">
        <f t="shared" si="4"/>
        <v>36616</v>
      </c>
      <c r="L272" s="37">
        <f t="shared" si="5"/>
        <v>45747</v>
      </c>
    </row>
    <row r="273">
      <c r="A273" s="1">
        <v>272.0</v>
      </c>
      <c r="B273" s="1">
        <v>1.330100037E9</v>
      </c>
      <c r="C273" s="1" t="s">
        <v>1023</v>
      </c>
      <c r="D273" s="1" t="s">
        <v>1024</v>
      </c>
      <c r="E273" s="1" t="s">
        <v>893</v>
      </c>
      <c r="F273" s="36">
        <v>45565.0</v>
      </c>
      <c r="G273" s="1">
        <v>4.0</v>
      </c>
      <c r="H273" s="8" t="str">
        <f t="shared" si="1"/>
        <v>1999</v>
      </c>
      <c r="I273" s="8" t="str">
        <f t="shared" si="2"/>
        <v>11</v>
      </c>
      <c r="J273" s="8" t="str">
        <f t="shared" si="3"/>
        <v>05</v>
      </c>
      <c r="K273" s="37">
        <f t="shared" si="4"/>
        <v>36469</v>
      </c>
      <c r="L273" s="37">
        <f t="shared" si="5"/>
        <v>45966</v>
      </c>
    </row>
    <row r="274">
      <c r="A274" s="1">
        <v>273.0</v>
      </c>
      <c r="B274" s="1">
        <v>1.330100011E9</v>
      </c>
      <c r="C274" s="1" t="s">
        <v>1025</v>
      </c>
      <c r="D274" s="1" t="s">
        <v>1026</v>
      </c>
      <c r="E274" s="1" t="s">
        <v>893</v>
      </c>
      <c r="F274" s="36">
        <v>45565.0</v>
      </c>
      <c r="G274" s="1">
        <v>4.0</v>
      </c>
      <c r="H274" s="8" t="str">
        <f t="shared" si="1"/>
        <v>1999</v>
      </c>
      <c r="I274" s="8" t="str">
        <f t="shared" si="2"/>
        <v>11</v>
      </c>
      <c r="J274" s="8" t="str">
        <f t="shared" si="3"/>
        <v>24</v>
      </c>
      <c r="K274" s="37">
        <f t="shared" si="4"/>
        <v>36488</v>
      </c>
      <c r="L274" s="37">
        <f t="shared" si="5"/>
        <v>45985</v>
      </c>
    </row>
    <row r="275">
      <c r="A275" s="1">
        <v>274.0</v>
      </c>
      <c r="B275" s="1">
        <v>1.331000002E9</v>
      </c>
      <c r="C275" s="1" t="s">
        <v>1027</v>
      </c>
      <c r="D275" s="1" t="s">
        <v>1028</v>
      </c>
      <c r="E275" s="1" t="s">
        <v>893</v>
      </c>
      <c r="F275" s="36">
        <v>45565.0</v>
      </c>
      <c r="G275" s="1">
        <v>4.0</v>
      </c>
      <c r="H275" s="8" t="str">
        <f t="shared" si="1"/>
        <v>2000</v>
      </c>
      <c r="I275" s="8" t="str">
        <f t="shared" si="2"/>
        <v>01</v>
      </c>
      <c r="J275" s="8" t="str">
        <f t="shared" si="3"/>
        <v>30</v>
      </c>
      <c r="K275" s="37">
        <f t="shared" si="4"/>
        <v>36555</v>
      </c>
      <c r="L275" s="37">
        <f t="shared" si="5"/>
        <v>45687</v>
      </c>
    </row>
    <row r="276">
      <c r="A276" s="1">
        <v>275.0</v>
      </c>
      <c r="B276" s="1">
        <v>1.330500001E9</v>
      </c>
      <c r="C276" s="1" t="s">
        <v>1029</v>
      </c>
      <c r="D276" s="1" t="s">
        <v>1030</v>
      </c>
      <c r="E276" s="1" t="s">
        <v>893</v>
      </c>
      <c r="F276" s="36">
        <v>45565.0</v>
      </c>
      <c r="G276" s="1">
        <v>4.0</v>
      </c>
      <c r="H276" s="8" t="str">
        <f t="shared" si="1"/>
        <v>2000</v>
      </c>
      <c r="I276" s="8" t="str">
        <f t="shared" si="2"/>
        <v>11</v>
      </c>
      <c r="J276" s="8" t="str">
        <f t="shared" si="3"/>
        <v>03</v>
      </c>
      <c r="K276" s="37">
        <f t="shared" si="4"/>
        <v>36833</v>
      </c>
      <c r="L276" s="37">
        <f t="shared" si="5"/>
        <v>45964</v>
      </c>
    </row>
    <row r="277">
      <c r="A277" s="1">
        <v>276.0</v>
      </c>
      <c r="B277" s="1">
        <v>1.330100015E9</v>
      </c>
      <c r="C277" s="1" t="s">
        <v>1031</v>
      </c>
      <c r="D277" s="1" t="s">
        <v>1032</v>
      </c>
      <c r="E277" s="1" t="s">
        <v>893</v>
      </c>
      <c r="F277" s="36">
        <v>45565.0</v>
      </c>
      <c r="G277" s="1">
        <v>4.0</v>
      </c>
      <c r="H277" s="8" t="str">
        <f t="shared" si="1"/>
        <v>2000</v>
      </c>
      <c r="I277" s="8" t="str">
        <f t="shared" si="2"/>
        <v>10</v>
      </c>
      <c r="J277" s="8" t="str">
        <f t="shared" si="3"/>
        <v>19</v>
      </c>
      <c r="K277" s="37">
        <f t="shared" si="4"/>
        <v>36818</v>
      </c>
      <c r="L277" s="37">
        <f t="shared" si="5"/>
        <v>45949</v>
      </c>
    </row>
    <row r="278">
      <c r="A278" s="1">
        <v>277.0</v>
      </c>
      <c r="B278" s="1">
        <v>1.331100004E9</v>
      </c>
      <c r="C278" s="1" t="s">
        <v>1033</v>
      </c>
      <c r="D278" s="1" t="s">
        <v>1034</v>
      </c>
      <c r="E278" s="1" t="s">
        <v>893</v>
      </c>
      <c r="F278" s="36">
        <v>45565.0</v>
      </c>
      <c r="G278" s="1">
        <v>4.0</v>
      </c>
      <c r="H278" s="8" t="str">
        <f t="shared" si="1"/>
        <v>2000</v>
      </c>
      <c r="I278" s="8" t="str">
        <f t="shared" si="2"/>
        <v>02</v>
      </c>
      <c r="J278" s="8" t="str">
        <f t="shared" si="3"/>
        <v>28</v>
      </c>
      <c r="K278" s="37">
        <f t="shared" si="4"/>
        <v>36584</v>
      </c>
      <c r="L278" s="37">
        <f t="shared" si="5"/>
        <v>45716</v>
      </c>
    </row>
    <row r="279">
      <c r="A279" s="1">
        <v>278.0</v>
      </c>
      <c r="B279" s="1">
        <v>1.330200014E9</v>
      </c>
      <c r="C279" s="1" t="s">
        <v>1035</v>
      </c>
      <c r="D279" s="1" t="s">
        <v>1036</v>
      </c>
      <c r="E279" s="1" t="s">
        <v>893</v>
      </c>
      <c r="F279" s="36">
        <v>45565.0</v>
      </c>
      <c r="G279" s="1">
        <v>4.0</v>
      </c>
      <c r="H279" s="8" t="str">
        <f t="shared" si="1"/>
        <v>2000</v>
      </c>
      <c r="I279" s="8" t="str">
        <f t="shared" si="2"/>
        <v>02</v>
      </c>
      <c r="J279" s="8" t="str">
        <f t="shared" si="3"/>
        <v>14</v>
      </c>
      <c r="K279" s="37">
        <f t="shared" si="4"/>
        <v>36570</v>
      </c>
      <c r="L279" s="37">
        <f t="shared" si="5"/>
        <v>45702</v>
      </c>
    </row>
    <row r="280">
      <c r="A280" s="1">
        <v>279.0</v>
      </c>
      <c r="B280" s="1">
        <v>1.330400002E9</v>
      </c>
      <c r="C280" s="1" t="s">
        <v>1037</v>
      </c>
      <c r="D280" s="1" t="s">
        <v>1038</v>
      </c>
      <c r="E280" s="1" t="s">
        <v>893</v>
      </c>
      <c r="F280" s="36">
        <v>45565.0</v>
      </c>
      <c r="G280" s="1">
        <v>4.0</v>
      </c>
      <c r="H280" s="8" t="str">
        <f t="shared" si="1"/>
        <v>2000</v>
      </c>
      <c r="I280" s="8" t="str">
        <f t="shared" si="2"/>
        <v>08</v>
      </c>
      <c r="J280" s="8" t="str">
        <f t="shared" si="3"/>
        <v>30</v>
      </c>
      <c r="K280" s="37">
        <f t="shared" si="4"/>
        <v>36768</v>
      </c>
      <c r="L280" s="37">
        <f t="shared" si="5"/>
        <v>45899</v>
      </c>
    </row>
    <row r="281">
      <c r="A281" s="1">
        <v>280.0</v>
      </c>
      <c r="B281" s="1">
        <v>1.330900001E9</v>
      </c>
      <c r="C281" s="1" t="s">
        <v>1039</v>
      </c>
      <c r="D281" s="1" t="s">
        <v>1040</v>
      </c>
      <c r="E281" s="1" t="s">
        <v>893</v>
      </c>
      <c r="F281" s="36">
        <v>45565.0</v>
      </c>
      <c r="G281" s="1">
        <v>4.0</v>
      </c>
      <c r="H281" s="8" t="str">
        <f t="shared" si="1"/>
        <v>2000</v>
      </c>
      <c r="I281" s="8" t="str">
        <f t="shared" si="2"/>
        <v>12</v>
      </c>
      <c r="J281" s="8" t="str">
        <f t="shared" si="3"/>
        <v>19</v>
      </c>
      <c r="K281" s="37">
        <f t="shared" si="4"/>
        <v>36879</v>
      </c>
      <c r="L281" s="37">
        <f t="shared" si="5"/>
        <v>46010</v>
      </c>
    </row>
    <row r="282">
      <c r="A282" s="1">
        <v>281.0</v>
      </c>
      <c r="B282" s="1">
        <v>1.330300008E9</v>
      </c>
      <c r="C282" s="1" t="s">
        <v>1041</v>
      </c>
      <c r="D282" s="1" t="s">
        <v>1042</v>
      </c>
      <c r="E282" s="1" t="s">
        <v>893</v>
      </c>
      <c r="F282" s="36">
        <v>45565.0</v>
      </c>
      <c r="G282" s="1">
        <v>4.0</v>
      </c>
      <c r="H282" s="8" t="str">
        <f t="shared" si="1"/>
        <v>2001</v>
      </c>
      <c r="I282" s="8" t="str">
        <f t="shared" si="2"/>
        <v>01</v>
      </c>
      <c r="J282" s="8" t="str">
        <f t="shared" si="3"/>
        <v>08</v>
      </c>
      <c r="K282" s="37">
        <f t="shared" si="4"/>
        <v>36899</v>
      </c>
      <c r="L282" s="37">
        <f t="shared" si="5"/>
        <v>45665</v>
      </c>
    </row>
    <row r="283">
      <c r="A283" s="1">
        <v>282.0</v>
      </c>
      <c r="B283" s="1">
        <v>1.330200005E9</v>
      </c>
      <c r="C283" s="1" t="s">
        <v>1043</v>
      </c>
      <c r="D283" s="1" t="s">
        <v>1044</v>
      </c>
      <c r="E283" s="1" t="s">
        <v>893</v>
      </c>
      <c r="F283" s="36">
        <v>45565.0</v>
      </c>
      <c r="G283" s="1">
        <v>4.0</v>
      </c>
      <c r="H283" s="8" t="str">
        <f t="shared" si="1"/>
        <v>2000</v>
      </c>
      <c r="I283" s="8" t="str">
        <f t="shared" si="2"/>
        <v>04</v>
      </c>
      <c r="J283" s="8" t="str">
        <f t="shared" si="3"/>
        <v>04</v>
      </c>
      <c r="K283" s="37">
        <f t="shared" si="4"/>
        <v>36620</v>
      </c>
      <c r="L283" s="37">
        <f t="shared" si="5"/>
        <v>45751</v>
      </c>
    </row>
    <row r="284">
      <c r="A284" s="1">
        <v>283.0</v>
      </c>
      <c r="B284" s="1">
        <v>1.330200016E9</v>
      </c>
      <c r="C284" s="1" t="s">
        <v>1045</v>
      </c>
      <c r="D284" s="1" t="s">
        <v>1046</v>
      </c>
      <c r="E284" s="1" t="s">
        <v>893</v>
      </c>
      <c r="F284" s="36">
        <v>45565.0</v>
      </c>
      <c r="G284" s="1">
        <v>4.0</v>
      </c>
      <c r="H284" s="8" t="str">
        <f t="shared" si="1"/>
        <v>2000</v>
      </c>
      <c r="I284" s="8" t="str">
        <f t="shared" si="2"/>
        <v>12</v>
      </c>
      <c r="J284" s="8" t="str">
        <f t="shared" si="3"/>
        <v>04</v>
      </c>
      <c r="K284" s="37">
        <f t="shared" si="4"/>
        <v>36864</v>
      </c>
      <c r="L284" s="37">
        <f t="shared" si="5"/>
        <v>45995</v>
      </c>
    </row>
    <row r="285">
      <c r="A285" s="1">
        <v>284.0</v>
      </c>
      <c r="B285" s="1">
        <v>1.330300007E9</v>
      </c>
      <c r="C285" s="1" t="s">
        <v>1047</v>
      </c>
      <c r="D285" s="1" t="s">
        <v>1048</v>
      </c>
      <c r="E285" s="1" t="s">
        <v>893</v>
      </c>
      <c r="F285" s="36">
        <v>45565.0</v>
      </c>
      <c r="G285" s="1">
        <v>4.0</v>
      </c>
      <c r="H285" s="8" t="str">
        <f t="shared" si="1"/>
        <v>2000</v>
      </c>
      <c r="I285" s="8" t="str">
        <f t="shared" si="2"/>
        <v>12</v>
      </c>
      <c r="J285" s="8" t="str">
        <f t="shared" si="3"/>
        <v>19</v>
      </c>
      <c r="K285" s="37">
        <f t="shared" si="4"/>
        <v>36879</v>
      </c>
      <c r="L285" s="37">
        <f t="shared" si="5"/>
        <v>46010</v>
      </c>
    </row>
    <row r="286">
      <c r="A286" s="1">
        <v>285.0</v>
      </c>
      <c r="B286" s="1">
        <v>1.330400003E9</v>
      </c>
      <c r="C286" s="1" t="s">
        <v>1049</v>
      </c>
      <c r="D286" s="1" t="s">
        <v>1050</v>
      </c>
      <c r="E286" s="1" t="s">
        <v>893</v>
      </c>
      <c r="F286" s="36">
        <v>45565.0</v>
      </c>
      <c r="G286" s="1">
        <v>4.0</v>
      </c>
      <c r="H286" s="8" t="str">
        <f t="shared" si="1"/>
        <v>2001</v>
      </c>
      <c r="I286" s="8" t="str">
        <f t="shared" si="2"/>
        <v>03</v>
      </c>
      <c r="J286" s="8" t="str">
        <f t="shared" si="3"/>
        <v>01</v>
      </c>
      <c r="K286" s="37">
        <f t="shared" si="4"/>
        <v>36951</v>
      </c>
      <c r="L286" s="37">
        <f t="shared" si="5"/>
        <v>45717</v>
      </c>
    </row>
    <row r="287">
      <c r="A287" s="1">
        <v>286.0</v>
      </c>
      <c r="B287" s="1">
        <v>1.330300002E9</v>
      </c>
      <c r="C287" s="1" t="s">
        <v>1051</v>
      </c>
      <c r="D287" s="1" t="s">
        <v>1052</v>
      </c>
      <c r="E287" s="1" t="s">
        <v>893</v>
      </c>
      <c r="F287" s="36">
        <v>45565.0</v>
      </c>
      <c r="G287" s="1">
        <v>4.0</v>
      </c>
      <c r="H287" s="8" t="str">
        <f t="shared" si="1"/>
        <v>1999</v>
      </c>
      <c r="I287" s="8" t="str">
        <f t="shared" si="2"/>
        <v>10</v>
      </c>
      <c r="J287" s="8" t="str">
        <f t="shared" si="3"/>
        <v>26</v>
      </c>
      <c r="K287" s="37">
        <f t="shared" si="4"/>
        <v>36459</v>
      </c>
      <c r="L287" s="37">
        <f t="shared" si="5"/>
        <v>45956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